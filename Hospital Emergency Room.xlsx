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MANISH\EXCEL PROJECT\"/>
    </mc:Choice>
  </mc:AlternateContent>
  <xr:revisionPtr revIDLastSave="0" documentId="13_ncr:1_{0396FF45-4AEC-4547-82BB-8AC622D16B29}" xr6:coauthVersionLast="47" xr6:coauthVersionMax="47" xr10:uidLastSave="{00000000-0000-0000-0000-000000000000}"/>
  <bookViews>
    <workbookView xWindow="-108" yWindow="-108" windowWidth="23256" windowHeight="12456" tabRatio="649" activeTab="1" xr2:uid="{69630967-7FD9-4BCE-9DE3-0B20F588FD42}"/>
  </bookViews>
  <sheets>
    <sheet name="PIVOT REPORT" sheetId="2" r:id="rId1"/>
    <sheet name="DASHBOARD" sheetId="3" r:id="rId2"/>
    <sheet name="SATISFACTION SCORE" sheetId="6" r:id="rId3"/>
    <sheet name="AVG WAIT TIME" sheetId="5" r:id="rId4"/>
    <sheet name="CHART" sheetId="4" r:id="rId5"/>
  </sheets>
  <definedNames>
    <definedName name="Slicer_Date__Month">#N/A</definedName>
    <definedName name="Slicer_Date__Year">#N/A</definedName>
  </definedNames>
  <calcPr calcId="191029"/>
  <pivotCaches>
    <pivotCache cacheId="211" r:id="rId6"/>
    <pivotCache cacheId="214" r:id="rId7"/>
    <pivotCache cacheId="217" r:id="rId8"/>
    <pivotCache cacheId="220" r:id="rId9"/>
    <pivotCache cacheId="223" r:id="rId10"/>
    <pivotCache cacheId="226" r:id="rId11"/>
    <pivotCache cacheId="229" r:id="rId12"/>
    <pivotCache cacheId="232" r:id="rId13"/>
    <pivotCache cacheId="235" r:id="rId14"/>
    <pivotCache cacheId="238" r:id="rId15"/>
    <pivotCache cacheId="241" r:id="rId16"/>
    <pivotCache cacheId="244" r:id="rId17"/>
    <pivotCache cacheId="247"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4320f73-dfc6-44fa-b95d-5044b70d5233" name="Hospital Emergency Room Data" connection="Query - Hospital Emergency Room Data"/>
          <x15:modelTable id="calendar_table_eafae6e7-af8e-4466-a235-4090ea1ba697"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D6BFAB-3452-479E-B8A1-A1C4CFAF98FC}" name="Query - calendar_table" description="Connection to the 'calendar_table' query in the workbook." type="100" refreshedVersion="8" minRefreshableVersion="5">
    <extLst>
      <ext xmlns:x15="http://schemas.microsoft.com/office/spreadsheetml/2010/11/main" uri="{DE250136-89BD-433C-8126-D09CA5730AF9}">
        <x15:connection id="e7d902c8-963f-4487-8fcf-822b2929cdc5"/>
      </ext>
    </extLst>
  </connection>
  <connection id="2" xr16:uid="{3116D128-A94F-482D-82EB-AA32456A1C1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ed3e30b-d20e-46f2-81fe-f639de9f84f5"/>
      </ext>
    </extLst>
  </connection>
  <connection id="3" xr16:uid="{5140C0D3-EEB6-49E0-9763-8DACF94FA4E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<sst xmlns="http://schemas.openxmlformats.org/spreadsheetml/2006/main" count="162" uniqueCount="78">
  <si>
    <t>Distinct Count of Patient Id</t>
  </si>
  <si>
    <t xml:space="preserve">NO OF PATIENT </t>
  </si>
  <si>
    <t>Average of Patient Waittime</t>
  </si>
  <si>
    <t>Average of Patient Satisfaction Score</t>
  </si>
  <si>
    <t>Grand Total</t>
  </si>
  <si>
    <t>Row Labels</t>
  </si>
  <si>
    <t xml:space="preserve"> Show a daily trend an area sparkline to spot pattern like busy days or seasonal trends.</t>
  </si>
  <si>
    <t>AVG WAIT TIME</t>
  </si>
  <si>
    <t>DAILY TREND OF PATIENTS</t>
  </si>
  <si>
    <t>PATIENT SATISFACTORY SCORE</t>
  </si>
  <si>
    <t>AVERAGE SATISFACTORY SCORE</t>
  </si>
  <si>
    <t>Admitted</t>
  </si>
  <si>
    <t>Not admitted</t>
  </si>
  <si>
    <t>Count of Patient Admission Flag</t>
  </si>
  <si>
    <t>Count of Patient Admission Flag2</t>
  </si>
  <si>
    <t>Total %</t>
  </si>
  <si>
    <t>No. of Patients</t>
  </si>
  <si>
    <t>Admission Status</t>
  </si>
  <si>
    <t>0-9</t>
  </si>
  <si>
    <t>10-19</t>
  </si>
  <si>
    <t>20-29</t>
  </si>
  <si>
    <t>30-39</t>
  </si>
  <si>
    <t>40-49</t>
  </si>
  <si>
    <t>50-59</t>
  </si>
  <si>
    <t>60-69</t>
  </si>
  <si>
    <t>70-79</t>
  </si>
  <si>
    <t>Count of AGE GROUP</t>
  </si>
  <si>
    <t>Male</t>
  </si>
  <si>
    <t>None</t>
  </si>
  <si>
    <t>DELAY</t>
  </si>
  <si>
    <t>ON TIME</t>
  </si>
  <si>
    <t>Female</t>
  </si>
  <si>
    <t>General Practice</t>
  </si>
  <si>
    <t>Orthopedics</t>
  </si>
  <si>
    <t>Physiotherapy</t>
  </si>
  <si>
    <t>Cardiology</t>
  </si>
  <si>
    <t>Neurology</t>
  </si>
  <si>
    <t>Gastroenterology</t>
  </si>
  <si>
    <t>Renal</t>
  </si>
  <si>
    <t>Count of PATIENT WAIT TIME</t>
  </si>
  <si>
    <t>Attended status</t>
  </si>
  <si>
    <t>Age Group</t>
  </si>
  <si>
    <t>Count of Patient Gender</t>
  </si>
  <si>
    <t>Patient Gender</t>
  </si>
  <si>
    <t>Patient Department Referal</t>
  </si>
  <si>
    <t>Count of Department Referral</t>
  </si>
  <si>
    <t>2024</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</si>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</sst>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sz val="14"/>
      <color theme="1"/>
      <name val="Bahnschrift"/>
      <family val="2"/>
    </font>
    <font>
      <sz val="14"/>
      <color theme="1"/>
      <name val="Arial Narrow"/>
      <family val="2"/>
    </font>
    <font>
      <sz val="18"/>
      <color theme="1"/>
      <name val="Bahnschrift SemiLight"/>
      <family val="2"/>
    </font>
    <font>
      <b/>
      <sz val="11"/>
      <color theme="1"/>
      <name val="Calibri"/>
      <family val="2"/>
      <scheme val="minor"/>
    </font>
  </fonts>
  <fills count="5">
    <fill>
      <patternFill patternType="none"/>
    </fill>
    <fill>
      <patternFill patternType="gray125"/>
    </fill>
    <fill>
      <patternFill patternType="solid">
        <fgColor theme="2" tint="-0.749992370372631"/>
        <bgColor indexed="64"/>
      </patternFill>
    </fill>
    <fill>
      <patternFill patternType="solid">
        <fgColor theme="7" tint="0.59999389629810485"/>
        <bgColor theme="4" tint="0.79998168889431442"/>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2" fillId="0" borderId="0" xfId="0" applyFont="1"/>
    <xf numFmtId="164" fontId="0" fillId="0" borderId="0" xfId="0" applyNumberFormat="1"/>
    <xf numFmtId="0" fontId="1" fillId="0" borderId="0" xfId="0" applyFont="1"/>
    <xf numFmtId="0" fontId="3" fillId="0" borderId="0" xfId="0" applyFont="1"/>
    <xf numFmtId="10" fontId="0" fillId="0" borderId="0" xfId="0" applyNumberFormat="1"/>
    <xf numFmtId="1" fontId="0" fillId="0" borderId="0" xfId="0" applyNumberFormat="1"/>
    <xf numFmtId="0" fontId="4" fillId="3" borderId="1" xfId="0" applyFont="1" applyFill="1" applyBorder="1"/>
    <xf numFmtId="0" fontId="0" fillId="4" borderId="1" xfId="0" applyFill="1" applyBorder="1"/>
    <xf numFmtId="0" fontId="0" fillId="0" borderId="1" xfId="0" applyBorder="1" applyAlignment="1">
      <alignment horizontal="left"/>
    </xf>
    <xf numFmtId="2" fontId="0" fillId="0" borderId="1" xfId="0" applyNumberFormat="1" applyBorder="1"/>
    <xf numFmtId="10" fontId="0" fillId="0" borderId="1" xfId="0" applyNumberFormat="1" applyBorder="1"/>
    <xf numFmtId="0" fontId="0" fillId="0" borderId="1" xfId="0" applyBorder="1"/>
    <xf numFmtId="0" fontId="0" fillId="0" borderId="0" xfId="0" applyNumberFormat="1"/>
  </cellXfs>
  <cellStyles count="1">
    <cellStyle name="Normal" xfId="0" builtinId="0"/>
  </cellStyles>
  <dxfs count="92">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64" formatCode="0.0"/>
    </dxf>
    <dxf>
      <numFmt numFmtId="164" formatCode="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1" formatCode="0"/>
    </dxf>
    <dxf>
      <numFmt numFmtId="2" formatCode="0.00"/>
    </dxf>
    <dxf>
      <numFmt numFmtId="164" formatCode="0.0"/>
    </dxf>
    <dxf>
      <numFmt numFmtId="1" formatCode="0"/>
    </dxf>
    <dxf>
      <numFmt numFmtId="1" formatCode="0"/>
    </dxf>
    <dxf>
      <numFmt numFmtId="164" formatCode="0.0"/>
    </dxf>
    <dxf>
      <numFmt numFmtId="1" formatCode="0"/>
    </dxf>
    <dxf>
      <font>
        <b val="0"/>
        <i/>
        <sz val="10"/>
      </font>
      <fill>
        <patternFill>
          <bgColor theme="7" tint="0.79998168889431442"/>
        </patternFill>
      </fill>
      <border diagonalUp="0" diagonalDown="0">
        <left/>
        <right/>
        <top/>
        <bottom/>
        <vertical/>
        <horizontal/>
      </border>
    </dxf>
  </dxfs>
  <tableStyles count="2" defaultTableStyle="TableStyleMedium2" defaultPivotStyle="PivotStyleLight16">
    <tableStyle name="Slicer1" pivot="0" table="0" count="1" xr9:uid="{B1BC23B4-E912-482A-88B2-F887C3A629F9}"/>
    <tableStyle name="Slicer1 2" pivot="0" table="0" count="2" xr9:uid="{0FE6852A-07E2-4A5A-94B9-64C53FF5D9CA}">
      <tableStyleElement type="wholeTable" dxfId="91"/>
    </tableStyle>
  </tableStyles>
  <extLst>
    <ext xmlns:x14="http://schemas.microsoft.com/office/spreadsheetml/2009/9/main" uri="{46F421CA-312F-682f-3DD2-61675219B42D}">
      <x14:dxfs count="2">
        <dxf>
          <font>
            <sz val="12"/>
          </font>
          <fill>
            <patternFill>
              <bgColor rgb="FFFFC000"/>
            </patternFill>
          </fill>
        </dxf>
        <dxf>
          <font>
            <sz val="12"/>
          </font>
          <fill>
            <patternFill>
              <bgColor rgb="FFFFC000"/>
            </patternFill>
          </fill>
        </dxf>
      </x14:dxfs>
    </ext>
    <ext xmlns:x14="http://schemas.microsoft.com/office/spreadsheetml/2009/9/main" uri="{EB79DEF2-80B8-43e5-95BD-54CBDDF9020C}">
      <x14:slicerStyles defaultSlicerStyle="SlicerStyleLight1">
        <x14:slicerStyle name="Slicer1">
          <x14:slicerStyleElements>
            <x14:slicerStyleElement type="selectedItemWithData" dxfId="1"/>
          </x14:slicerStyleElements>
        </x14:slicerStyle>
        <x14:slicerStyle name="Slicer1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[my.xlsx]PIVOT REPORT!PivotTable8</c:name>
    <c:fmtId val="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2700" cmpd="thickThin">
            <a:solidFill>
              <a:schemeClr val="tx1">
                <a:lumMod val="15000"/>
                <a:lumOff val="85000"/>
                <a:alpha val="40000"/>
              </a:schemeClr>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'PIVOT REPORT'!$D$44</c:f>
              <c:strCache>
                <c:ptCount val="1"/>
                <c:pt idx="0">
                  <c:v>Total</c:v>
                </c:pt>
              </c:strCache>
            </c:strRef>
          </c:tx>
          <c:spPr>
            <a:solidFill>
              <a:schemeClr val="accent1"/>
            </a:solidFill>
            <a:ln w="12700" cmpd="thickThin">
              <a:solidFill>
                <a:schemeClr val="tx1">
                  <a:lumMod val="15000"/>
                  <a:lumOff val="85000"/>
                  <a:alpha val="40000"/>
                </a:schemeClr>
              </a:solid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REPORT'!$C$45:$C$47</c:f>
              <c:strCache>
                <c:ptCount val="2"/>
                <c:pt idx="0">
                  <c:v>Admitted</c:v>
                </c:pt>
                <c:pt idx="1">
                  <c:v>Not admitted</c:v>
                </c:pt>
              </c:strCache>
            </c:strRef>
          </c:cat>
          <c:val>
            <c:numRef>
              <c:f>'PIVOT REPORT'!$D$45:$D$47</c:f>
              <c:numCache>
                <c:formatCode>0.00%</c:formatCode>
                <c:ptCount val="2"/>
                <c:pt idx="0">
                  <c:v>0.54508196721311475</c:v>
                </c:pt>
                <c:pt idx="1">
                  <c:v>0.45491803278688525</c:v>
                </c:pt>
              </c:numCache>
            </c:numRef>
          </c:val>
          <c:extLst>
            <c:ext xmlns:c16="http://schemas.microsoft.com/office/drawing/2014/chart" uri="{C3380CC4-5D6E-409C-BE32-E72D297353CC}">
              <c16:uniqueId val="{00000000-3831-45B8-9341-C00F523C5702}"/>
            </c:ext>
          </c:extLst>
        </c:ser>
        <c:dLbls>
          <c:dLblPos val="outEnd"/>
          <c:showLegendKey val="0"/>
          <c:showVal val="1"/>
          <c:showCatName val="0"/>
          <c:showSerName val="0"/>
          <c:showPercent val="0"/>
          <c:showBubbleSize val="0"/>
        </c:dLbls>
        <c:gapWidth val="94"/>
        <c:overlap val="6"/>
        <c:axId val="1247493199"/>
        <c:axId val="1247494159"/>
      </c:barChart>
      <c:catAx>
        <c:axId val="1247493199"/>
        <c:scaling>
          <c:orientation val="minMax"/>
        </c:scaling>
        <c:delete val="1"/>
        <c:axPos val="l"/>
        <c:numFmt formatCode="General" sourceLinked="1"/>
        <c:majorTickMark val="none"/>
        <c:minorTickMark val="none"/>
        <c:tickLblPos val="nextTo"/>
        <c:crossAx val="1247494159"/>
        <c:crosses val="autoZero"/>
        <c:auto val="1"/>
        <c:lblAlgn val="ctr"/>
        <c:lblOffset val="100"/>
        <c:noMultiLvlLbl val="0"/>
      </c:catAx>
      <c:valAx>
        <c:axId val="1247494159"/>
        <c:scaling>
          <c:orientation val="minMax"/>
        </c:scaling>
        <c:delete val="1"/>
        <c:axPos val="b"/>
        <c:numFmt formatCode="0.00%" sourceLinked="1"/>
        <c:majorTickMark val="none"/>
        <c:minorTickMark val="none"/>
        <c:tickLblPos val="nextTo"/>
        <c:crossAx val="1247493199"/>
        <c:crosses val="autoZero"/>
        <c:crossBetween val="between"/>
      </c:valAx>
      <c:spPr>
        <a:noFill/>
        <a:ln>
          <a:solidFill>
            <a:schemeClr val="tx1">
              <a:lumMod val="15000"/>
              <a:lumOff val="85000"/>
              <a:alpha val="29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dbl"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[my.xlsx]PIVOT REPORT!PivotTable1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044928207503424E-3"/>
          <c:y val="0.38770006690340181"/>
          <c:w val="0.95744583397663519"/>
          <c:h val="0.61032253989641672"/>
        </c:manualLayout>
      </c:layout>
      <c:areaChart>
        <c:grouping val="standard"/>
        <c:varyColors val="0"/>
        <c:ser>
          <c:idx val="0"/>
          <c:order val="0"/>
          <c:tx>
            <c:strRef>
              <c:f>'PIVOT REPORT'!$G$3</c:f>
              <c:strCache>
                <c:ptCount val="1"/>
                <c:pt idx="0">
                  <c:v>Total</c:v>
                </c:pt>
              </c:strCache>
            </c:strRef>
          </c:tx>
          <c:spPr>
            <a:solidFill>
              <a:schemeClr val="accent1"/>
            </a:solidFill>
            <a:ln>
              <a:noFill/>
            </a:ln>
            <a:effectLst/>
          </c:spPr>
          <c:cat>
            <c:strRef>
              <c:f>'PIVOT REPORT'!$F$4:$F$35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REPORT'!$G$4:$G$35</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3DAA-4D93-91F9-D37BC2DDD119}"/>
            </c:ext>
          </c:extLst>
        </c:ser>
        <c:dLbls>
          <c:showLegendKey val="0"/>
          <c:showVal val="0"/>
          <c:showCatName val="0"/>
          <c:showSerName val="0"/>
          <c:showPercent val="0"/>
          <c:showBubbleSize val="0"/>
        </c:dLbls>
        <c:axId val="752129872"/>
        <c:axId val="752135632"/>
      </c:areaChart>
      <c:catAx>
        <c:axId val="752129872"/>
        <c:scaling>
          <c:orientation val="minMax"/>
        </c:scaling>
        <c:delete val="1"/>
        <c:axPos val="b"/>
        <c:numFmt formatCode="General" sourceLinked="1"/>
        <c:majorTickMark val="out"/>
        <c:minorTickMark val="none"/>
        <c:tickLblPos val="nextTo"/>
        <c:crossAx val="752135632"/>
        <c:crosses val="autoZero"/>
        <c:auto val="1"/>
        <c:lblAlgn val="ctr"/>
        <c:lblOffset val="100"/>
        <c:noMultiLvlLbl val="0"/>
      </c:catAx>
      <c:valAx>
        <c:axId val="7521356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521298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4">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[my.xlsx]PIVOT REPORT!PivotTable5</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8E-3"/>
          <c:y val="0"/>
          <c:w val="0.99444444444444446"/>
          <c:h val="1"/>
        </c:manualLayout>
      </c:layout>
      <c:areaChart>
        <c:grouping val="standard"/>
        <c:varyColors val="0"/>
        <c:ser>
          <c:idx val="0"/>
          <c:order val="0"/>
          <c:tx>
            <c:strRef>
              <c:f>'PIVOT REPORT'!$L$3</c:f>
              <c:strCache>
                <c:ptCount val="1"/>
                <c:pt idx="0">
                  <c:v>Total</c:v>
                </c:pt>
              </c:strCache>
            </c:strRef>
          </c:tx>
          <c:spPr>
            <a:solidFill>
              <a:schemeClr val="accent1"/>
            </a:solidFill>
            <a:ln>
              <a:noFill/>
            </a:ln>
            <a:effectLst/>
          </c:spPr>
          <c:cat>
            <c:strRef>
              <c:f>'PIVOT REPORT'!$K$4:$K$35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REPORT'!$L$4:$L$35</c:f>
              <c:numCache>
                <c:formatCode>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94C3-412F-B9C2-04BC8079BA21}"/>
            </c:ext>
          </c:extLst>
        </c:ser>
        <c:dLbls>
          <c:showLegendKey val="0"/>
          <c:showVal val="0"/>
          <c:showCatName val="0"/>
          <c:showSerName val="0"/>
          <c:showPercent val="0"/>
          <c:showBubbleSize val="0"/>
        </c:dLbls>
        <c:axId val="1524704912"/>
        <c:axId val="1524694832"/>
      </c:areaChart>
      <c:catAx>
        <c:axId val="1524704912"/>
        <c:scaling>
          <c:orientation val="minMax"/>
        </c:scaling>
        <c:delete val="1"/>
        <c:axPos val="b"/>
        <c:numFmt formatCode="General" sourceLinked="1"/>
        <c:majorTickMark val="out"/>
        <c:minorTickMark val="none"/>
        <c:tickLblPos val="nextTo"/>
        <c:crossAx val="1524694832"/>
        <c:crosses val="autoZero"/>
        <c:auto val="1"/>
        <c:lblAlgn val="ctr"/>
        <c:lblOffset val="100"/>
        <c:noMultiLvlLbl val="0"/>
      </c:catAx>
      <c:valAx>
        <c:axId val="1524694832"/>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524704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[my.xlsx]PIVOT REPORT!PivotTable6</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1640406950571709E-4"/>
          <c:w val="0.99722222222222223"/>
          <c:h val="0.99032407407407408"/>
        </c:manualLayout>
      </c:layout>
      <c:areaChart>
        <c:grouping val="standard"/>
        <c:varyColors val="0"/>
        <c:ser>
          <c:idx val="0"/>
          <c:order val="0"/>
          <c:tx>
            <c:strRef>
              <c:f>'PIVOT REPORT'!$O$3</c:f>
              <c:strCache>
                <c:ptCount val="1"/>
                <c:pt idx="0">
                  <c:v>Total</c:v>
                </c:pt>
              </c:strCache>
            </c:strRef>
          </c:tx>
          <c:spPr>
            <a:solidFill>
              <a:schemeClr val="accent1"/>
            </a:solidFill>
            <a:ln>
              <a:noFill/>
            </a:ln>
            <a:effectLst/>
          </c:spPr>
          <c:cat>
            <c:strRef>
              <c:f>'PIVOT REPORT'!$N$4:$N$35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REPORT'!$O$4:$O$35</c:f>
              <c:numCache>
                <c:formatCode>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0281-47C5-8ACF-1B68512AC8FF}"/>
            </c:ext>
          </c:extLst>
        </c:ser>
        <c:dLbls>
          <c:showLegendKey val="0"/>
          <c:showVal val="0"/>
          <c:showCatName val="0"/>
          <c:showSerName val="0"/>
          <c:showPercent val="0"/>
          <c:showBubbleSize val="0"/>
        </c:dLbls>
        <c:axId val="815735776"/>
        <c:axId val="815736256"/>
      </c:areaChart>
      <c:catAx>
        <c:axId val="815735776"/>
        <c:scaling>
          <c:orientation val="minMax"/>
        </c:scaling>
        <c:delete val="1"/>
        <c:axPos val="b"/>
        <c:numFmt formatCode="General" sourceLinked="1"/>
        <c:majorTickMark val="out"/>
        <c:minorTickMark val="none"/>
        <c:tickLblPos val="nextTo"/>
        <c:crossAx val="815736256"/>
        <c:crosses val="autoZero"/>
        <c:auto val="1"/>
        <c:lblAlgn val="ctr"/>
        <c:lblOffset val="100"/>
        <c:noMultiLvlLbl val="0"/>
      </c:catAx>
      <c:valAx>
        <c:axId val="81573625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8157357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[my.xlsx]PIVOT REPORT!PivotTable9</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1525856415197343E-3"/>
              <c:y val="-2.613631218693020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4.3463647377752081E-2"/>
                  <c:h val="6.9566493933768792E-2"/>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3972197079108837E-2"/>
                  <c:h val="0.11307656005497552"/>
                </c:manualLayout>
              </c15:layout>
            </c:ext>
          </c:extLst>
        </c:dLbl>
      </c:pivotFmt>
    </c:pivotFmts>
    <c:plotArea>
      <c:layout>
        <c:manualLayout>
          <c:layoutTarget val="inner"/>
          <c:xMode val="edge"/>
          <c:yMode val="edge"/>
          <c:x val="5.5545083712319364E-3"/>
          <c:y val="1.391192680186206E-3"/>
          <c:w val="0.99444553419856163"/>
          <c:h val="0.83744791602354873"/>
        </c:manualLayout>
      </c:layout>
      <c:barChart>
        <c:barDir val="col"/>
        <c:grouping val="clustered"/>
        <c:varyColors val="0"/>
        <c:ser>
          <c:idx val="0"/>
          <c:order val="0"/>
          <c:tx>
            <c:strRef>
              <c:f>'PIVOT REPORT'!$H$43</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2-BFB1-4DBF-AE56-EC4D8161DA5A}"/>
              </c:ext>
            </c:extLst>
          </c:dPt>
          <c:dPt>
            <c:idx val="6"/>
            <c:invertIfNegative val="0"/>
            <c:bubble3D val="0"/>
            <c:extLst>
              <c:ext xmlns:c16="http://schemas.microsoft.com/office/drawing/2014/chart" uri="{C3380CC4-5D6E-409C-BE32-E72D297353CC}">
                <c16:uniqueId val="{00000001-BFB1-4DBF-AE56-EC4D8161DA5A}"/>
              </c:ext>
            </c:extLst>
          </c:dPt>
          <c:dLbls>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3972197079108837E-2"/>
                      <c:h val="0.11307656005497552"/>
                    </c:manualLayout>
                  </c15:layout>
                </c:ext>
                <c:ext xmlns:c16="http://schemas.microsoft.com/office/drawing/2014/chart" uri="{C3380CC4-5D6E-409C-BE32-E72D297353CC}">
                  <c16:uniqueId val="{00000002-BFB1-4DBF-AE56-EC4D8161DA5A}"/>
                </c:ext>
              </c:extLst>
            </c:dLbl>
            <c:dLbl>
              <c:idx val="6"/>
              <c:layout>
                <c:manualLayout>
                  <c:x val="3.1525856415197343E-3"/>
                  <c:y val="-2.613631218693020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4.3463647377752081E-2"/>
                      <c:h val="6.9566493933768792E-2"/>
                    </c:manualLayout>
                  </c15:layout>
                </c:ext>
                <c:ext xmlns:c16="http://schemas.microsoft.com/office/drawing/2014/chart" uri="{C3380CC4-5D6E-409C-BE32-E72D297353CC}">
                  <c16:uniqueId val="{00000001-BFB1-4DBF-AE56-EC4D8161DA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REPORT'!$G$44:$G$52</c:f>
              <c:strCache>
                <c:ptCount val="8"/>
                <c:pt idx="0">
                  <c:v>0-9</c:v>
                </c:pt>
                <c:pt idx="1">
                  <c:v>10-19</c:v>
                </c:pt>
                <c:pt idx="2">
                  <c:v>20-29</c:v>
                </c:pt>
                <c:pt idx="3">
                  <c:v>30-39</c:v>
                </c:pt>
                <c:pt idx="4">
                  <c:v>40-49</c:v>
                </c:pt>
                <c:pt idx="5">
                  <c:v>50-59</c:v>
                </c:pt>
                <c:pt idx="6">
                  <c:v>60-69</c:v>
                </c:pt>
                <c:pt idx="7">
                  <c:v>70-79</c:v>
                </c:pt>
              </c:strCache>
            </c:strRef>
          </c:cat>
          <c:val>
            <c:numRef>
              <c:f>'PIVOT REPORT'!$H$44:$H$52</c:f>
              <c:numCache>
                <c:formatCode>0</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0-BFB1-4DBF-AE56-EC4D8161DA5A}"/>
            </c:ext>
          </c:extLst>
        </c:ser>
        <c:dLbls>
          <c:dLblPos val="outEnd"/>
          <c:showLegendKey val="0"/>
          <c:showVal val="1"/>
          <c:showCatName val="0"/>
          <c:showSerName val="0"/>
          <c:showPercent val="0"/>
          <c:showBubbleSize val="0"/>
        </c:dLbls>
        <c:gapWidth val="219"/>
        <c:overlap val="-27"/>
        <c:axId val="1496829215"/>
        <c:axId val="1496517855"/>
      </c:barChart>
      <c:catAx>
        <c:axId val="149682921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517855"/>
        <c:crosses val="autoZero"/>
        <c:auto val="1"/>
        <c:lblAlgn val="ctr"/>
        <c:lblOffset val="100"/>
        <c:noMultiLvlLbl val="0"/>
      </c:catAx>
      <c:valAx>
        <c:axId val="1496517855"/>
        <c:scaling>
          <c:orientation val="minMax"/>
        </c:scaling>
        <c:delete val="1"/>
        <c:axPos val="l"/>
        <c:numFmt formatCode="0" sourceLinked="1"/>
        <c:majorTickMark val="out"/>
        <c:minorTickMark val="none"/>
        <c:tickLblPos val="nextTo"/>
        <c:crossAx val="149682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[my.xlsx]PIVOT REPORT!PivotTable10</c:name>
    <c:fmtId val="24"/>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3175" cmpd="sng">
            <a:solidFill>
              <a:schemeClr val="dk1">
                <a:lumMod val="25000"/>
                <a:lumOff val="75000"/>
              </a:schemeClr>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3175" cmpd="sng">
            <a:solidFill>
              <a:schemeClr val="dk1">
                <a:lumMod val="25000"/>
                <a:lumOff val="75000"/>
              </a:schemeClr>
            </a:solidFill>
          </a:ln>
          <a:effectLst>
            <a:outerShdw blurRad="254000" sx="102000" sy="102000" algn="ctr" rotWithShape="0">
              <a:prstClr val="black">
                <a:alpha val="20000"/>
              </a:prstClr>
            </a:outerShdw>
          </a:effectLst>
        </c:spPr>
      </c:pivotFmt>
      <c:pivotFmt>
        <c:idx val="6"/>
        <c:spPr>
          <a:solidFill>
            <a:schemeClr val="accent1"/>
          </a:solidFill>
          <a:ln w="3175" cmpd="sng">
            <a:solidFill>
              <a:schemeClr val="dk1">
                <a:lumMod val="25000"/>
                <a:lumOff val="75000"/>
              </a:schemeClr>
            </a:solidFill>
          </a:ln>
          <a:effectLst>
            <a:outerShdw blurRad="254000" sx="102000" sy="102000" algn="ctr" rotWithShape="0">
              <a:prstClr val="black">
                <a:alpha val="20000"/>
              </a:prstClr>
            </a:outerShdw>
          </a:effectLst>
        </c:spPr>
      </c:pivotFmt>
    </c:pivotFmts>
    <c:plotArea>
      <c:layout>
        <c:manualLayout>
          <c:layoutTarget val="inner"/>
          <c:xMode val="edge"/>
          <c:yMode val="edge"/>
          <c:x val="0.27377522273733024"/>
          <c:y val="0.23211573181908923"/>
          <c:w val="0.33729792207186027"/>
          <c:h val="0.6822619728192969"/>
        </c:manualLayout>
      </c:layout>
      <c:pieChart>
        <c:varyColors val="1"/>
        <c:ser>
          <c:idx val="0"/>
          <c:order val="0"/>
          <c:tx>
            <c:strRef>
              <c:f>'PIVOT REPORT'!$K$43</c:f>
              <c:strCache>
                <c:ptCount val="1"/>
                <c:pt idx="0">
                  <c:v>Total</c:v>
                </c:pt>
              </c:strCache>
            </c:strRef>
          </c:tx>
          <c:spPr>
            <a:ln w="3175" cmpd="sng">
              <a:solidFill>
                <a:schemeClr val="dk1">
                  <a:lumMod val="25000"/>
                  <a:lumOff val="75000"/>
                </a:schemeClr>
              </a:solidFill>
            </a:ln>
          </c:spPr>
          <c:dPt>
            <c:idx val="0"/>
            <c:bubble3D val="0"/>
            <c:spPr>
              <a:solidFill>
                <a:schemeClr val="accent1"/>
              </a:solidFill>
              <a:ln w="3175" cmpd="sng">
                <a:solidFill>
                  <a:schemeClr val="dk1">
                    <a:lumMod val="25000"/>
                    <a:lumOff val="7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0BA-46D4-A888-5EA58B60076C}"/>
              </c:ext>
            </c:extLst>
          </c:dPt>
          <c:dPt>
            <c:idx val="1"/>
            <c:bubble3D val="0"/>
            <c:spPr>
              <a:solidFill>
                <a:schemeClr val="accent2"/>
              </a:solidFill>
              <a:ln w="3175" cmpd="sng">
                <a:solidFill>
                  <a:schemeClr val="dk1">
                    <a:lumMod val="25000"/>
                    <a:lumOff val="7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0BA-46D4-A888-5EA58B60076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REPORT'!$J$44:$J$45</c:f>
              <c:strCache>
                <c:ptCount val="2"/>
                <c:pt idx="0">
                  <c:v>DELAY</c:v>
                </c:pt>
                <c:pt idx="1">
                  <c:v>ON TIME</c:v>
                </c:pt>
              </c:strCache>
            </c:strRef>
          </c:cat>
          <c:val>
            <c:numRef>
              <c:f>'PIVOT REPORT'!$K$44:$K$45</c:f>
              <c:numCache>
                <c:formatCode>0</c:formatCode>
                <c:ptCount val="2"/>
                <c:pt idx="0">
                  <c:v>288</c:v>
                </c:pt>
                <c:pt idx="1">
                  <c:v>200</c:v>
                </c:pt>
              </c:numCache>
            </c:numRef>
          </c:val>
          <c:extLst>
            <c:ext xmlns:c16="http://schemas.microsoft.com/office/drawing/2014/chart" uri="{C3380CC4-5D6E-409C-BE32-E72D297353CC}">
              <c16:uniqueId val="{00000004-D0BA-46D4-A888-5EA58B60076C}"/>
            </c:ext>
          </c:extLst>
        </c:ser>
        <c:dLbls>
          <c:dLblPos val="ctr"/>
          <c:showLegendKey val="0"/>
          <c:showVal val="0"/>
          <c:showCatName val="0"/>
          <c:showSerName val="0"/>
          <c:showPercent val="1"/>
          <c:showBubbleSize val="0"/>
          <c:showLeaderLines val="1"/>
        </c:dLbls>
        <c:firstSliceAng val="4"/>
      </c:pieChart>
      <c:spPr>
        <a:noFill/>
        <a:ln>
          <a:noFill/>
        </a:ln>
        <a:effectLst/>
      </c:spPr>
    </c:plotArea>
    <c:legend>
      <c:legendPos val="r"/>
      <c:layout>
        <c:manualLayout>
          <c:xMode val="edge"/>
          <c:yMode val="edge"/>
          <c:x val="0.2396047225387819"/>
          <c:y val="9.7457594910629164E-2"/>
          <c:w val="0.40476106456674266"/>
          <c:h val="0.1530500533104999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[my.xlsx]PIVOT REPORT!PivotTable11</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438235148338705"/>
          <c:y val="0.15277793400824893"/>
          <c:w val="0.46692792967662966"/>
          <c:h val="0.79034401949756294"/>
        </c:manualLayout>
      </c:layout>
      <c:doughnutChart>
        <c:varyColors val="1"/>
        <c:ser>
          <c:idx val="0"/>
          <c:order val="0"/>
          <c:tx>
            <c:strRef>
              <c:f>'PIVOT REPORT'!$K$50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F96-420D-8966-BF3ED6BB201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F96-420D-8966-BF3ED6BB20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REPORT'!$J$51:$J$52</c:f>
              <c:strCache>
                <c:ptCount val="2"/>
                <c:pt idx="0">
                  <c:v>Female</c:v>
                </c:pt>
                <c:pt idx="1">
                  <c:v>Male</c:v>
                </c:pt>
              </c:strCache>
            </c:strRef>
          </c:cat>
          <c:val>
            <c:numRef>
              <c:f>'PIVOT REPORT'!$K$51:$K$52</c:f>
              <c:numCache>
                <c:formatCode>0</c:formatCode>
                <c:ptCount val="2"/>
                <c:pt idx="0">
                  <c:v>232</c:v>
                </c:pt>
                <c:pt idx="1">
                  <c:v>256</c:v>
                </c:pt>
              </c:numCache>
            </c:numRef>
          </c:val>
          <c:extLst>
            <c:ext xmlns:c16="http://schemas.microsoft.com/office/drawing/2014/chart" uri="{C3380CC4-5D6E-409C-BE32-E72D297353CC}">
              <c16:uniqueId val="{00000004-0F96-420D-8966-BF3ED6BB201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4848158527741495"/>
          <c:y val="3.3745781777277839E-3"/>
          <c:w val="0.54874059492563443"/>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[my.xlsx]PIVOT REPORT!PivotTable12</c:name>
    <c:fmtId val="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cmpd="sng">
            <a:solidFill>
              <a:schemeClr val="dk1">
                <a:lumMod val="25000"/>
                <a:lumOff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cmpd="sng">
            <a:solidFill>
              <a:schemeClr val="dk1">
                <a:lumMod val="25000"/>
                <a:lumOff val="75000"/>
              </a:schemeClr>
            </a:solidFill>
          </a:ln>
          <a:effectLst/>
        </c:spPr>
      </c:pivotFmt>
    </c:pivotFmts>
    <c:plotArea>
      <c:layout>
        <c:manualLayout>
          <c:layoutTarget val="inner"/>
          <c:xMode val="edge"/>
          <c:yMode val="edge"/>
          <c:x val="0.23829416238242587"/>
          <c:y val="6.7008244564263936E-2"/>
          <c:w val="0.74749632902226815"/>
          <c:h val="0.81187127703985673"/>
        </c:manualLayout>
      </c:layout>
      <c:barChart>
        <c:barDir val="bar"/>
        <c:grouping val="clustered"/>
        <c:varyColors val="0"/>
        <c:ser>
          <c:idx val="0"/>
          <c:order val="0"/>
          <c:tx>
            <c:strRef>
              <c:f>'PIVOT REPORT'!$K$56</c:f>
              <c:strCache>
                <c:ptCount val="1"/>
                <c:pt idx="0">
                  <c:v>Total</c:v>
                </c:pt>
              </c:strCache>
            </c:strRef>
          </c:tx>
          <c:spPr>
            <a:solidFill>
              <a:schemeClr val="accent1"/>
            </a:solidFill>
            <a:ln cmpd="sng">
              <a:solidFill>
                <a:schemeClr val="dk1">
                  <a:lumMod val="25000"/>
                  <a:lumOff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REPORT'!$J$57:$J$64</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REPORT'!$K$57:$K$64</c:f>
              <c:numCache>
                <c:formatCode>0</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0-8BC3-4D12-B87D-7D511744787D}"/>
            </c:ext>
          </c:extLst>
        </c:ser>
        <c:dLbls>
          <c:dLblPos val="outEnd"/>
          <c:showLegendKey val="0"/>
          <c:showVal val="1"/>
          <c:showCatName val="0"/>
          <c:showSerName val="0"/>
          <c:showPercent val="0"/>
          <c:showBubbleSize val="0"/>
        </c:dLbls>
        <c:gapWidth val="119"/>
        <c:axId val="12692415"/>
        <c:axId val="12689055"/>
      </c:barChart>
      <c:catAx>
        <c:axId val="1269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689055"/>
        <c:crosses val="autoZero"/>
        <c:auto val="1"/>
        <c:lblAlgn val="ctr"/>
        <c:lblOffset val="100"/>
        <c:noMultiLvlLbl val="0"/>
      </c:catAx>
      <c:valAx>
        <c:axId val="12689055"/>
        <c:scaling>
          <c:orientation val="minMax"/>
        </c:scaling>
        <c:delete val="1"/>
        <c:axPos val="b"/>
        <c:numFmt formatCode="0" sourceLinked="1"/>
        <c:majorTickMark val="none"/>
        <c:minorTickMark val="none"/>
        <c:tickLblPos val="nextTo"/>
        <c:crossAx val="1269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[my.xlsx]PIVOT REPORT!PivotTable6</c:name>
    <c:fmtId val="3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REPORT'!$N$4:$N$35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REPORT'!$O$4:$O$35</c:f>
              <c:numCache>
                <c:formatCode>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4B7E-421A-ACC6-E0CD0EEFBBA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15735776"/>
        <c:axId val="815736256"/>
      </c:areaChart>
      <c:catAx>
        <c:axId val="8157357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15736256"/>
        <c:crosses val="autoZero"/>
        <c:auto val="1"/>
        <c:lblAlgn val="ctr"/>
        <c:lblOffset val="100"/>
        <c:noMultiLvlLbl val="0"/>
      </c:catAx>
      <c:valAx>
        <c:axId val="815736256"/>
        <c:scaling>
          <c:orientation val="minMax"/>
        </c:scaling>
        <c:delete val="1"/>
        <c:axPos val="l"/>
        <c:numFmt formatCode="0.0" sourceLinked="1"/>
        <c:majorTickMark val="out"/>
        <c:minorTickMark val="none"/>
        <c:tickLblPos val="nextTo"/>
        <c:crossAx val="815735776"/>
        <c:crosses val="autoZero"/>
        <c:crossBetween val="midCat"/>
      </c:valAx>
      <c:dTable>
        <c:showHorzBorder val="1"/>
        <c:showVertBorder val="1"/>
        <c:showOutline val="1"/>
        <c:showKeys val="1"/>
        <c:spPr>
          <a:noFill/>
          <a:ln w="9525">
            <a:solidFill>
              <a:schemeClr val="accent1">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[my.xlsx]PIVOT REPORT!PivotTable5</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8E-3"/>
          <c:y val="0"/>
          <c:w val="0.99444444444444446"/>
          <c:h val="1"/>
        </c:manualLayout>
      </c:layout>
      <c:areaChart>
        <c:grouping val="standard"/>
        <c:varyColors val="0"/>
        <c:ser>
          <c:idx val="0"/>
          <c:order val="0"/>
          <c:tx>
            <c:strRef>
              <c:f>'PIVOT REPORT'!$L$3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REPORT'!$K$4:$K$35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REPORT'!$L$4:$L$35</c:f>
              <c:numCache>
                <c:formatCode>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FF21-4A36-BDF4-9EC2D47ED82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24704912"/>
        <c:axId val="1524694832"/>
      </c:areaChart>
      <c:catAx>
        <c:axId val="152470491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24694832"/>
        <c:crosses val="autoZero"/>
        <c:auto val="1"/>
        <c:lblAlgn val="ctr"/>
        <c:lblOffset val="100"/>
        <c:noMultiLvlLbl val="0"/>
      </c:catAx>
      <c:valAx>
        <c:axId val="1524694832"/>
        <c:scaling>
          <c:orientation val="minMax"/>
        </c:scaling>
        <c:delete val="1"/>
        <c:axPos val="l"/>
        <c:numFmt formatCode="0.0" sourceLinked="1"/>
        <c:majorTickMark val="out"/>
        <c:minorTickMark val="none"/>
        <c:tickLblPos val="nextTo"/>
        <c:crossAx val="1524704912"/>
        <c:crosses val="autoZero"/>
        <c:crossBetween val="midCat"/>
      </c:valAx>
      <c:dTable>
        <c:showHorzBorder val="1"/>
        <c:showVertBorder val="1"/>
        <c:showOutline val="1"/>
        <c:showKeys val="1"/>
        <c:spPr>
          <a:noFill/>
          <a:ln w="9525">
            <a:solidFill>
              <a:schemeClr val="accent1">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[my.xlsx]PIVOT REPORT!PivotTable1</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528115803706352E-2"/>
          <c:y val="0.14260249554367202"/>
          <c:w val="0.91169410641851589"/>
          <c:h val="0.61032253989641672"/>
        </c:manualLayout>
      </c:layout>
      <c:areaChart>
        <c:grouping val="standard"/>
        <c:varyColors val="0"/>
        <c:ser>
          <c:idx val="0"/>
          <c:order val="0"/>
          <c:tx>
            <c:strRef>
              <c:f>'PIVOT REPORT'!$G$3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REPORT'!$F$4:$F$35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REPORT'!$G$4:$G$35</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564D-468A-BEB3-25C7B02F59F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52129872"/>
        <c:axId val="752135632"/>
      </c:areaChart>
      <c:catAx>
        <c:axId val="7521298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2135632"/>
        <c:crosses val="autoZero"/>
        <c:auto val="1"/>
        <c:lblAlgn val="ctr"/>
        <c:lblOffset val="100"/>
        <c:noMultiLvlLbl val="0"/>
      </c:catAx>
      <c:valAx>
        <c:axId val="752135632"/>
        <c:scaling>
          <c:orientation val="minMax"/>
        </c:scaling>
        <c:delete val="1"/>
        <c:axPos val="l"/>
        <c:numFmt formatCode="General" sourceLinked="1"/>
        <c:majorTickMark val="out"/>
        <c:minorTickMark val="none"/>
        <c:tickLblPos val="nextTo"/>
        <c:crossAx val="752129872"/>
        <c:crosses val="autoZero"/>
        <c:crossBetween val="midCat"/>
      </c:valAx>
      <c:dTable>
        <c:showHorzBorder val="1"/>
        <c:showVertBorder val="1"/>
        <c:showOutline val="1"/>
        <c:showKeys val="1"/>
        <c:spPr>
          <a:noFill/>
          <a:ln w="9525">
            <a:solidFill>
              <a:schemeClr val="accent1">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CHAR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image" Target="../media/image8.emf"/><Relationship Id="rId10" Type="http://schemas.openxmlformats.org/officeDocument/2006/relationships/hyperlink" Target="#'AVG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830580</xdr:colOff>
      <xdr:row>50</xdr:row>
      <xdr:rowOff>114300</xdr:rowOff>
    </xdr:from>
    <xdr:to>
      <xdr:col>4</xdr:col>
      <xdr:colOff>1447800</xdr:colOff>
      <xdr:row>53</xdr:row>
      <xdr:rowOff>121920</xdr:rowOff>
    </xdr:to>
    <xdr:graphicFrame macro="">
      <xdr:nvGraphicFramePr>
        <xdr:cNvPr id="3" name="Chart 2">
          <a:extLst>
            <a:ext uri="{FF2B5EF4-FFF2-40B4-BE49-F238E27FC236}">
              <a16:creationId xmlns:a16="http://schemas.microsoft.com/office/drawing/2014/main" id="{DB75A2B9-DD1E-79C3-69D9-EF6FE0698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228600</xdr:colOff>
      <xdr:row>0</xdr:row>
      <xdr:rowOff>129540</xdr:rowOff>
    </xdr:from>
    <xdr:to>
      <xdr:col>9</xdr:col>
      <xdr:colOff>381000</xdr:colOff>
      <xdr:row>5</xdr:row>
      <xdr:rowOff>15240</xdr:rowOff>
    </xdr:to>
    <xdr:sp macro="" textlink="">
      <xdr:nvSpPr>
        <xdr:cNvPr id="2" name="Rectangle: Rounded Corners 1">
          <a:extLst>
            <a:ext uri="{FF2B5EF4-FFF2-40B4-BE49-F238E27FC236}">
              <a16:creationId xmlns:a16="http://schemas.microsoft.com/office/drawing/2014/main" id="{1678A52B-600D-2719-E6B9-216F933BDF65}"/>
            </a:ext>
          </a:extLst>
        </xdr:cNvPr>
        <xdr:cNvSpPr/>
      </xdr:nvSpPr>
      <xdr:spPr>
        <a:xfrm>
          <a:off x="228600" y="129540"/>
          <a:ext cx="5638800" cy="80010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448236</xdr:colOff>
      <xdr:row>0</xdr:row>
      <xdr:rowOff>137160</xdr:rowOff>
    </xdr:from>
    <xdr:to>
      <xdr:col>12</xdr:col>
      <xdr:colOff>215153</xdr:colOff>
      <xdr:row>5</xdr:row>
      <xdr:rowOff>22860</xdr:rowOff>
    </xdr:to>
    <xdr:sp macro="" textlink="">
      <xdr:nvSpPr>
        <xdr:cNvPr id="3" name="Rectangle: Rounded Corners 2">
          <a:extLst>
            <a:ext uri="{FF2B5EF4-FFF2-40B4-BE49-F238E27FC236}">
              <a16:creationId xmlns:a16="http://schemas.microsoft.com/office/drawing/2014/main" id="{692B22D0-8AEF-41A3-9DC7-EBBE6585A188}"/>
            </a:ext>
          </a:extLst>
        </xdr:cNvPr>
        <xdr:cNvSpPr/>
      </xdr:nvSpPr>
      <xdr:spPr>
        <a:xfrm>
          <a:off x="5934636" y="137160"/>
          <a:ext cx="1882588" cy="782171"/>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304800</xdr:colOff>
      <xdr:row>0</xdr:row>
      <xdr:rowOff>129540</xdr:rowOff>
    </xdr:from>
    <xdr:to>
      <xdr:col>16</xdr:col>
      <xdr:colOff>175260</xdr:colOff>
      <xdr:row>13</xdr:row>
      <xdr:rowOff>22860</xdr:rowOff>
    </xdr:to>
    <xdr:sp macro="" textlink="">
      <xdr:nvSpPr>
        <xdr:cNvPr id="5" name="Rectangle: Rounded Corners 4">
          <a:extLst>
            <a:ext uri="{FF2B5EF4-FFF2-40B4-BE49-F238E27FC236}">
              <a16:creationId xmlns:a16="http://schemas.microsoft.com/office/drawing/2014/main" id="{E3E346CC-E006-8261-681E-F4B145C57820}"/>
            </a:ext>
          </a:extLst>
        </xdr:cNvPr>
        <xdr:cNvSpPr/>
      </xdr:nvSpPr>
      <xdr:spPr>
        <a:xfrm>
          <a:off x="7909560" y="129540"/>
          <a:ext cx="2308860" cy="227076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297180</xdr:colOff>
      <xdr:row>0</xdr:row>
      <xdr:rowOff>144780</xdr:rowOff>
    </xdr:from>
    <xdr:to>
      <xdr:col>20</xdr:col>
      <xdr:colOff>167640</xdr:colOff>
      <xdr:row>13</xdr:row>
      <xdr:rowOff>38100</xdr:rowOff>
    </xdr:to>
    <xdr:sp macro="" textlink="">
      <xdr:nvSpPr>
        <xdr:cNvPr id="6" name="Rectangle: Rounded Corners 5">
          <a:extLst>
            <a:ext uri="{FF2B5EF4-FFF2-40B4-BE49-F238E27FC236}">
              <a16:creationId xmlns:a16="http://schemas.microsoft.com/office/drawing/2014/main" id="{CC4573F2-E745-66E6-3342-C3D0FA5CD8CE}"/>
            </a:ext>
          </a:extLst>
        </xdr:cNvPr>
        <xdr:cNvSpPr/>
      </xdr:nvSpPr>
      <xdr:spPr>
        <a:xfrm>
          <a:off x="10337651" y="144780"/>
          <a:ext cx="2308860" cy="2224144"/>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144780</xdr:colOff>
      <xdr:row>5</xdr:row>
      <xdr:rowOff>121920</xdr:rowOff>
    </xdr:from>
    <xdr:to>
      <xdr:col>2</xdr:col>
      <xdr:colOff>472440</xdr:colOff>
      <xdr:row>26</xdr:row>
      <xdr:rowOff>83820</xdr:rowOff>
    </xdr:to>
    <xdr:sp macro="" textlink="">
      <xdr:nvSpPr>
        <xdr:cNvPr id="10" name="Rectangle: Rounded Corners 9">
          <a:extLst>
            <a:ext uri="{FF2B5EF4-FFF2-40B4-BE49-F238E27FC236}">
              <a16:creationId xmlns:a16="http://schemas.microsoft.com/office/drawing/2014/main" id="{25B0CAD0-CAFA-268E-FEAD-2AF94CD3CCBA}"/>
            </a:ext>
          </a:extLst>
        </xdr:cNvPr>
        <xdr:cNvSpPr/>
      </xdr:nvSpPr>
      <xdr:spPr>
        <a:xfrm>
          <a:off x="144780" y="1036320"/>
          <a:ext cx="1546860" cy="38023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487680</xdr:colOff>
      <xdr:row>5</xdr:row>
      <xdr:rowOff>121920</xdr:rowOff>
    </xdr:from>
    <xdr:to>
      <xdr:col>6</xdr:col>
      <xdr:colOff>137160</xdr:colOff>
      <xdr:row>11</xdr:row>
      <xdr:rowOff>106017</xdr:rowOff>
    </xdr:to>
    <xdr:sp macro="" textlink="">
      <xdr:nvSpPr>
        <xdr:cNvPr id="13" name="Rectangle: Rounded Corners 12">
          <a:extLst>
            <a:ext uri="{FF2B5EF4-FFF2-40B4-BE49-F238E27FC236}">
              <a16:creationId xmlns:a16="http://schemas.microsoft.com/office/drawing/2014/main" id="{AD4F1B07-60DC-63BA-C0CA-8256EB25BA6A}"/>
            </a:ext>
          </a:extLst>
        </xdr:cNvPr>
        <xdr:cNvSpPr/>
      </xdr:nvSpPr>
      <xdr:spPr>
        <a:xfrm>
          <a:off x="1706880" y="1049572"/>
          <a:ext cx="2087880" cy="10972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0</xdr:colOff>
      <xdr:row>10</xdr:row>
      <xdr:rowOff>106680</xdr:rowOff>
    </xdr:from>
    <xdr:to>
      <xdr:col>0</xdr:col>
      <xdr:colOff>0</xdr:colOff>
      <xdr:row>14</xdr:row>
      <xdr:rowOff>175260</xdr:rowOff>
    </xdr:to>
    <xdr:sp macro="" textlink="">
      <xdr:nvSpPr>
        <xdr:cNvPr id="14" name="Rectangle: Rounded Corners 13">
          <a:extLst>
            <a:ext uri="{FF2B5EF4-FFF2-40B4-BE49-F238E27FC236}">
              <a16:creationId xmlns:a16="http://schemas.microsoft.com/office/drawing/2014/main" id="{0897C7EF-5D52-A117-CE06-381DC0B70770}"/>
            </a:ext>
          </a:extLst>
        </xdr:cNvPr>
        <xdr:cNvSpPr/>
      </xdr:nvSpPr>
      <xdr:spPr>
        <a:xfrm>
          <a:off x="0" y="1935480"/>
          <a:ext cx="0" cy="80010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175260</xdr:colOff>
      <xdr:row>5</xdr:row>
      <xdr:rowOff>106679</xdr:rowOff>
    </xdr:from>
    <xdr:to>
      <xdr:col>9</xdr:col>
      <xdr:colOff>182880</xdr:colOff>
      <xdr:row>11</xdr:row>
      <xdr:rowOff>106017</xdr:rowOff>
    </xdr:to>
    <xdr:sp macro="" textlink="">
      <xdr:nvSpPr>
        <xdr:cNvPr id="15" name="Rectangle: Rounded Corners 14">
          <a:extLst>
            <a:ext uri="{FF2B5EF4-FFF2-40B4-BE49-F238E27FC236}">
              <a16:creationId xmlns:a16="http://schemas.microsoft.com/office/drawing/2014/main" id="{0019389E-2F03-0AB8-5B18-51AD52F76003}"/>
            </a:ext>
          </a:extLst>
        </xdr:cNvPr>
        <xdr:cNvSpPr/>
      </xdr:nvSpPr>
      <xdr:spPr>
        <a:xfrm>
          <a:off x="3832860" y="1034331"/>
          <a:ext cx="1836420" cy="1112521"/>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editAs="absolute">
    <xdr:from>
      <xdr:col>9</xdr:col>
      <xdr:colOff>259080</xdr:colOff>
      <xdr:row>5</xdr:row>
      <xdr:rowOff>129540</xdr:rowOff>
    </xdr:from>
    <xdr:to>
      <xdr:col>12</xdr:col>
      <xdr:colOff>228600</xdr:colOff>
      <xdr:row>11</xdr:row>
      <xdr:rowOff>112643</xdr:rowOff>
    </xdr:to>
    <xdr:sp macro="" textlink="">
      <xdr:nvSpPr>
        <xdr:cNvPr id="16" name="Rectangle: Rounded Corners 15">
          <a:extLst>
            <a:ext uri="{FF2B5EF4-FFF2-40B4-BE49-F238E27FC236}">
              <a16:creationId xmlns:a16="http://schemas.microsoft.com/office/drawing/2014/main" id="{9B853270-4D38-ECF2-FB04-653BF3A231E3}"/>
            </a:ext>
          </a:extLst>
        </xdr:cNvPr>
        <xdr:cNvSpPr/>
      </xdr:nvSpPr>
      <xdr:spPr>
        <a:xfrm>
          <a:off x="5745480" y="1057192"/>
          <a:ext cx="2089868" cy="1096286"/>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510540</xdr:colOff>
      <xdr:row>17</xdr:row>
      <xdr:rowOff>152400</xdr:rowOff>
    </xdr:from>
    <xdr:to>
      <xdr:col>12</xdr:col>
      <xdr:colOff>312420</xdr:colOff>
      <xdr:row>26</xdr:row>
      <xdr:rowOff>60960</xdr:rowOff>
    </xdr:to>
    <xdr:sp macro="" textlink="">
      <xdr:nvSpPr>
        <xdr:cNvPr id="17" name="Rectangle: Rounded Corners 16">
          <a:extLst>
            <a:ext uri="{FF2B5EF4-FFF2-40B4-BE49-F238E27FC236}">
              <a16:creationId xmlns:a16="http://schemas.microsoft.com/office/drawing/2014/main" id="{B832DE78-A11F-7F6D-43B6-4F59A33EE7C0}"/>
            </a:ext>
          </a:extLst>
        </xdr:cNvPr>
        <xdr:cNvSpPr/>
      </xdr:nvSpPr>
      <xdr:spPr>
        <a:xfrm rot="16200000">
          <a:off x="4035287" y="1000870"/>
          <a:ext cx="1578334" cy="6189428"/>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472440</xdr:colOff>
      <xdr:row>11</xdr:row>
      <xdr:rowOff>167639</xdr:rowOff>
    </xdr:from>
    <xdr:to>
      <xdr:col>12</xdr:col>
      <xdr:colOff>331694</xdr:colOff>
      <xdr:row>18</xdr:row>
      <xdr:rowOff>53339</xdr:rowOff>
    </xdr:to>
    <xdr:sp macro="" textlink="">
      <xdr:nvSpPr>
        <xdr:cNvPr id="23" name="Rectangle: Rounded Corners 22">
          <a:extLst>
            <a:ext uri="{FF2B5EF4-FFF2-40B4-BE49-F238E27FC236}">
              <a16:creationId xmlns:a16="http://schemas.microsoft.com/office/drawing/2014/main" id="{D108E5E6-BB29-5DDD-86AF-B779589CFA79}"/>
            </a:ext>
          </a:extLst>
        </xdr:cNvPr>
        <xdr:cNvSpPr/>
      </xdr:nvSpPr>
      <xdr:spPr>
        <a:xfrm rot="16200000">
          <a:off x="4242323" y="-410809"/>
          <a:ext cx="1140759" cy="624212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413721</xdr:colOff>
      <xdr:row>13</xdr:row>
      <xdr:rowOff>127299</xdr:rowOff>
    </xdr:from>
    <xdr:to>
      <xdr:col>20</xdr:col>
      <xdr:colOff>215601</xdr:colOff>
      <xdr:row>26</xdr:row>
      <xdr:rowOff>24205</xdr:rowOff>
    </xdr:to>
    <xdr:sp macro="" textlink="">
      <xdr:nvSpPr>
        <xdr:cNvPr id="24" name="Rectangle: Rounded Corners 23">
          <a:extLst>
            <a:ext uri="{FF2B5EF4-FFF2-40B4-BE49-F238E27FC236}">
              <a16:creationId xmlns:a16="http://schemas.microsoft.com/office/drawing/2014/main" id="{8DE82D13-904F-E7EA-D8FD-314A4B7337AC}"/>
            </a:ext>
          </a:extLst>
        </xdr:cNvPr>
        <xdr:cNvSpPr/>
      </xdr:nvSpPr>
      <xdr:spPr>
        <a:xfrm>
          <a:off x="8015792" y="2458123"/>
          <a:ext cx="4678680" cy="2227729"/>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99060</xdr:colOff>
      <xdr:row>1</xdr:row>
      <xdr:rowOff>22860</xdr:rowOff>
    </xdr:from>
    <xdr:to>
      <xdr:col>9</xdr:col>
      <xdr:colOff>106680</xdr:colOff>
      <xdr:row>2</xdr:row>
      <xdr:rowOff>144780</xdr:rowOff>
    </xdr:to>
    <xdr:sp macro="" textlink="">
      <xdr:nvSpPr>
        <xdr:cNvPr id="4" name="TextBox 3">
          <a:extLst>
            <a:ext uri="{FF2B5EF4-FFF2-40B4-BE49-F238E27FC236}">
              <a16:creationId xmlns:a16="http://schemas.microsoft.com/office/drawing/2014/main" id="{38A3E934-60EE-654C-19B7-EBFD8921A561}"/>
            </a:ext>
          </a:extLst>
        </xdr:cNvPr>
        <xdr:cNvSpPr txBox="1"/>
      </xdr:nvSpPr>
      <xdr:spPr>
        <a:xfrm>
          <a:off x="1318260" y="205740"/>
          <a:ext cx="42748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1"/>
            <a:t>Hospital</a:t>
          </a:r>
          <a:r>
            <a:rPr lang="en-IN" sz="2000" b="1" baseline="0"/>
            <a:t> Emergency Room Dashboard</a:t>
          </a:r>
          <a:endParaRPr lang="en-IN" sz="2000" b="1"/>
        </a:p>
      </xdr:txBody>
    </xdr:sp>
    <xdr:clientData/>
  </xdr:twoCellAnchor>
  <xdr:twoCellAnchor editAs="oneCell">
    <xdr:from>
      <xdr:col>0</xdr:col>
      <xdr:colOff>22860</xdr:colOff>
      <xdr:row>0</xdr:row>
      <xdr:rowOff>121920</xdr:rowOff>
    </xdr:from>
    <xdr:to>
      <xdr:col>2</xdr:col>
      <xdr:colOff>266700</xdr:colOff>
      <xdr:row>5</xdr:row>
      <xdr:rowOff>19835</xdr:rowOff>
    </xdr:to>
    <xdr:pic>
      <xdr:nvPicPr>
        <xdr:cNvPr id="8" name="Picture 7">
          <a:extLst>
            <a:ext uri="{FF2B5EF4-FFF2-40B4-BE49-F238E27FC236}">
              <a16:creationId xmlns:a16="http://schemas.microsoft.com/office/drawing/2014/main" id="{3B9947CE-C34A-ACFD-D60C-9634115FB8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 y="121920"/>
          <a:ext cx="1463040" cy="812315"/>
        </a:xfrm>
        <a:prstGeom prst="rect">
          <a:avLst/>
        </a:prstGeom>
      </xdr:spPr>
    </xdr:pic>
    <xdr:clientData/>
  </xdr:twoCellAnchor>
  <xdr:twoCellAnchor>
    <xdr:from>
      <xdr:col>3</xdr:col>
      <xdr:colOff>495300</xdr:colOff>
      <xdr:row>2</xdr:row>
      <xdr:rowOff>152400</xdr:rowOff>
    </xdr:from>
    <xdr:to>
      <xdr:col>5</xdr:col>
      <xdr:colOff>548640</xdr:colOff>
      <xdr:row>4</xdr:row>
      <xdr:rowOff>91440</xdr:rowOff>
    </xdr:to>
    <xdr:sp macro="" textlink="">
      <xdr:nvSpPr>
        <xdr:cNvPr id="12" name="TextBox 11">
          <a:extLst>
            <a:ext uri="{FF2B5EF4-FFF2-40B4-BE49-F238E27FC236}">
              <a16:creationId xmlns:a16="http://schemas.microsoft.com/office/drawing/2014/main" id="{F0AE5CA9-EB76-5C7F-CC2A-74277FD91BF3}"/>
            </a:ext>
          </a:extLst>
        </xdr:cNvPr>
        <xdr:cNvSpPr txBox="1"/>
      </xdr:nvSpPr>
      <xdr:spPr>
        <a:xfrm>
          <a:off x="2324100" y="518160"/>
          <a:ext cx="12725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0"/>
            <a:t>Monthly</a:t>
          </a:r>
          <a:r>
            <a:rPr lang="en-IN" sz="1600" b="0" baseline="0"/>
            <a:t> report</a:t>
          </a:r>
          <a:endParaRPr lang="en-IN" sz="1600" b="0"/>
        </a:p>
      </xdr:txBody>
    </xdr:sp>
    <xdr:clientData/>
  </xdr:twoCellAnchor>
  <xdr:twoCellAnchor>
    <xdr:from>
      <xdr:col>2</xdr:col>
      <xdr:colOff>407968</xdr:colOff>
      <xdr:row>6</xdr:row>
      <xdr:rowOff>53339</xdr:rowOff>
    </xdr:from>
    <xdr:to>
      <xdr:col>6</xdr:col>
      <xdr:colOff>145673</xdr:colOff>
      <xdr:row>8</xdr:row>
      <xdr:rowOff>71252</xdr:rowOff>
    </xdr:to>
    <xdr:sp macro="" textlink="'PIVOT REPORT'!B4">
      <xdr:nvSpPr>
        <xdr:cNvPr id="20" name="TextBox 19">
          <a:extLst>
            <a:ext uri="{FF2B5EF4-FFF2-40B4-BE49-F238E27FC236}">
              <a16:creationId xmlns:a16="http://schemas.microsoft.com/office/drawing/2014/main" id="{AACF4B6C-1E4B-68A4-CD96-46FC7E365D9B}"/>
            </a:ext>
          </a:extLst>
        </xdr:cNvPr>
        <xdr:cNvSpPr txBox="1"/>
      </xdr:nvSpPr>
      <xdr:spPr>
        <a:xfrm>
          <a:off x="1627168" y="1166522"/>
          <a:ext cx="2176105" cy="388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92D5D61-BE97-4BA7-BD98-E0A007F827B3}" type="TxLink">
            <a:rPr lang="en-US" sz="1600" b="0" i="0" u="none" strike="noStrike">
              <a:solidFill>
                <a:srgbClr val="000000"/>
              </a:solidFill>
              <a:latin typeface="Calibri"/>
              <a:ea typeface="Calibri"/>
              <a:cs typeface="Calibri"/>
            </a:rPr>
            <a:pPr algn="ctr"/>
            <a:t>488</a:t>
          </a:fld>
          <a:endParaRPr lang="en-IN" sz="1600" b="0"/>
        </a:p>
      </xdr:txBody>
    </xdr:sp>
    <xdr:clientData/>
  </xdr:twoCellAnchor>
  <xdr:twoCellAnchor>
    <xdr:from>
      <xdr:col>2</xdr:col>
      <xdr:colOff>525780</xdr:colOff>
      <xdr:row>7</xdr:row>
      <xdr:rowOff>99060</xdr:rowOff>
    </xdr:from>
    <xdr:to>
      <xdr:col>6</xdr:col>
      <xdr:colOff>175260</xdr:colOff>
      <xdr:row>9</xdr:row>
      <xdr:rowOff>38100</xdr:rowOff>
    </xdr:to>
    <xdr:sp macro="" textlink="">
      <xdr:nvSpPr>
        <xdr:cNvPr id="22" name="TextBox 21">
          <a:extLst>
            <a:ext uri="{FF2B5EF4-FFF2-40B4-BE49-F238E27FC236}">
              <a16:creationId xmlns:a16="http://schemas.microsoft.com/office/drawing/2014/main" id="{68C7493A-096D-AD08-0A58-A725F6B5FD2B}"/>
            </a:ext>
          </a:extLst>
        </xdr:cNvPr>
        <xdr:cNvSpPr txBox="1"/>
      </xdr:nvSpPr>
      <xdr:spPr>
        <a:xfrm>
          <a:off x="1744980" y="1379220"/>
          <a:ext cx="20878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0"/>
            <a:t>No. of Patient</a:t>
          </a:r>
          <a:r>
            <a:rPr lang="en-IN" sz="1400" b="0" baseline="0"/>
            <a:t> </a:t>
          </a:r>
          <a:endParaRPr lang="en-IN" sz="1400" b="0"/>
        </a:p>
      </xdr:txBody>
    </xdr:sp>
    <xdr:clientData/>
  </xdr:twoCellAnchor>
  <xdr:twoCellAnchor>
    <xdr:from>
      <xdr:col>6</xdr:col>
      <xdr:colOff>137160</xdr:colOff>
      <xdr:row>6</xdr:row>
      <xdr:rowOff>60960</xdr:rowOff>
    </xdr:from>
    <xdr:to>
      <xdr:col>9</xdr:col>
      <xdr:colOff>381000</xdr:colOff>
      <xdr:row>8</xdr:row>
      <xdr:rowOff>60960</xdr:rowOff>
    </xdr:to>
    <xdr:sp macro="" textlink="'PIVOT REPORT'!B9">
      <xdr:nvSpPr>
        <xdr:cNvPr id="25" name="TextBox 24">
          <a:extLst>
            <a:ext uri="{FF2B5EF4-FFF2-40B4-BE49-F238E27FC236}">
              <a16:creationId xmlns:a16="http://schemas.microsoft.com/office/drawing/2014/main" id="{D00496A2-B44B-B194-BDB6-AAE24AB38087}"/>
            </a:ext>
          </a:extLst>
        </xdr:cNvPr>
        <xdr:cNvSpPr txBox="1"/>
      </xdr:nvSpPr>
      <xdr:spPr>
        <a:xfrm>
          <a:off x="3794760" y="1158240"/>
          <a:ext cx="20726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4846451-346D-41E1-863A-9ECE5926D835}" type="TxLink">
            <a:rPr lang="en-US" sz="1600" b="0" i="0" u="none" strike="noStrike">
              <a:solidFill>
                <a:srgbClr val="000000"/>
              </a:solidFill>
              <a:latin typeface="Calibri"/>
              <a:ea typeface="Calibri"/>
              <a:cs typeface="Calibri"/>
            </a:rPr>
            <a:pPr algn="ctr"/>
            <a:t>35.20</a:t>
          </a:fld>
          <a:endParaRPr lang="en-IN" sz="1600" b="0"/>
        </a:p>
      </xdr:txBody>
    </xdr:sp>
    <xdr:clientData/>
  </xdr:twoCellAnchor>
  <xdr:twoCellAnchor>
    <xdr:from>
      <xdr:col>6</xdr:col>
      <xdr:colOff>182880</xdr:colOff>
      <xdr:row>7</xdr:row>
      <xdr:rowOff>114300</xdr:rowOff>
    </xdr:from>
    <xdr:to>
      <xdr:col>9</xdr:col>
      <xdr:colOff>441960</xdr:colOff>
      <xdr:row>9</xdr:row>
      <xdr:rowOff>53340</xdr:rowOff>
    </xdr:to>
    <xdr:sp macro="" textlink="">
      <xdr:nvSpPr>
        <xdr:cNvPr id="26" name="TextBox 25">
          <a:extLst>
            <a:ext uri="{FF2B5EF4-FFF2-40B4-BE49-F238E27FC236}">
              <a16:creationId xmlns:a16="http://schemas.microsoft.com/office/drawing/2014/main" id="{D3466697-192B-EB63-5745-469D131D761B}"/>
            </a:ext>
          </a:extLst>
        </xdr:cNvPr>
        <xdr:cNvSpPr txBox="1"/>
      </xdr:nvSpPr>
      <xdr:spPr>
        <a:xfrm>
          <a:off x="3840480" y="1394460"/>
          <a:ext cx="20878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0"/>
            <a:t>Patient</a:t>
          </a:r>
          <a:r>
            <a:rPr lang="en-IN" sz="1400" b="0" baseline="0"/>
            <a:t> Wait Time</a:t>
          </a:r>
          <a:endParaRPr lang="en-IN" sz="1400" b="0"/>
        </a:p>
      </xdr:txBody>
    </xdr:sp>
    <xdr:clientData/>
  </xdr:twoCellAnchor>
  <xdr:twoCellAnchor>
    <xdr:from>
      <xdr:col>9</xdr:col>
      <xdr:colOff>213360</xdr:colOff>
      <xdr:row>6</xdr:row>
      <xdr:rowOff>68580</xdr:rowOff>
    </xdr:from>
    <xdr:to>
      <xdr:col>12</xdr:col>
      <xdr:colOff>167640</xdr:colOff>
      <xdr:row>8</xdr:row>
      <xdr:rowOff>68580</xdr:rowOff>
    </xdr:to>
    <xdr:sp macro="" textlink="'PIVOT REPORT'!B13">
      <xdr:nvSpPr>
        <xdr:cNvPr id="27" name="TextBox 26">
          <a:extLst>
            <a:ext uri="{FF2B5EF4-FFF2-40B4-BE49-F238E27FC236}">
              <a16:creationId xmlns:a16="http://schemas.microsoft.com/office/drawing/2014/main" id="{6D24022D-3324-E1E0-B77D-1A219CE18952}"/>
            </a:ext>
          </a:extLst>
        </xdr:cNvPr>
        <xdr:cNvSpPr txBox="1"/>
      </xdr:nvSpPr>
      <xdr:spPr>
        <a:xfrm>
          <a:off x="5699760" y="1165860"/>
          <a:ext cx="20726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D806237-5734-4377-B173-178ED8FA992A}" type="TxLink">
            <a:rPr lang="en-US" sz="1600" b="0" i="0" u="none" strike="noStrike">
              <a:solidFill>
                <a:srgbClr val="000000"/>
              </a:solidFill>
              <a:latin typeface="Calibri"/>
              <a:ea typeface="Calibri"/>
              <a:cs typeface="Calibri"/>
            </a:rPr>
            <a:pPr algn="ctr"/>
            <a:t>4.79</a:t>
          </a:fld>
          <a:endParaRPr lang="en-IN" sz="1600" b="0"/>
        </a:p>
      </xdr:txBody>
    </xdr:sp>
    <xdr:clientData/>
  </xdr:twoCellAnchor>
  <xdr:twoCellAnchor>
    <xdr:from>
      <xdr:col>9</xdr:col>
      <xdr:colOff>236220</xdr:colOff>
      <xdr:row>7</xdr:row>
      <xdr:rowOff>106680</xdr:rowOff>
    </xdr:from>
    <xdr:to>
      <xdr:col>12</xdr:col>
      <xdr:colOff>228600</xdr:colOff>
      <xdr:row>9</xdr:row>
      <xdr:rowOff>45720</xdr:rowOff>
    </xdr:to>
    <xdr:sp macro="" textlink="">
      <xdr:nvSpPr>
        <xdr:cNvPr id="28" name="TextBox 27">
          <a:extLst>
            <a:ext uri="{FF2B5EF4-FFF2-40B4-BE49-F238E27FC236}">
              <a16:creationId xmlns:a16="http://schemas.microsoft.com/office/drawing/2014/main" id="{1F074744-5063-6659-E0B9-953CF9B6FFF6}"/>
            </a:ext>
          </a:extLst>
        </xdr:cNvPr>
        <xdr:cNvSpPr txBox="1"/>
      </xdr:nvSpPr>
      <xdr:spPr>
        <a:xfrm>
          <a:off x="5722620" y="1386840"/>
          <a:ext cx="21107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0"/>
            <a:t>Patient</a:t>
          </a:r>
          <a:r>
            <a:rPr lang="en-IN" sz="1400" b="0" baseline="0"/>
            <a:t> Satisfactory score</a:t>
          </a:r>
          <a:endParaRPr lang="en-IN" sz="1400" b="0"/>
        </a:p>
      </xdr:txBody>
    </xdr:sp>
    <xdr:clientData/>
  </xdr:twoCellAnchor>
  <xdr:twoCellAnchor editAs="absolute">
    <xdr:from>
      <xdr:col>0</xdr:col>
      <xdr:colOff>121920</xdr:colOff>
      <xdr:row>5</xdr:row>
      <xdr:rowOff>121920</xdr:rowOff>
    </xdr:from>
    <xdr:to>
      <xdr:col>2</xdr:col>
      <xdr:colOff>449580</xdr:colOff>
      <xdr:row>26</xdr:row>
      <xdr:rowOff>83820</xdr:rowOff>
    </xdr:to>
    <xdr:sp macro="" textlink="">
      <xdr:nvSpPr>
        <xdr:cNvPr id="29" name="Rectangle: Rounded Corners 28">
          <a:extLst>
            <a:ext uri="{FF2B5EF4-FFF2-40B4-BE49-F238E27FC236}">
              <a16:creationId xmlns:a16="http://schemas.microsoft.com/office/drawing/2014/main" id="{E4769466-67BD-F46A-C346-15CF550190F1}"/>
            </a:ext>
          </a:extLst>
        </xdr:cNvPr>
        <xdr:cNvSpPr/>
      </xdr:nvSpPr>
      <xdr:spPr>
        <a:xfrm>
          <a:off x="121920" y="1036320"/>
          <a:ext cx="1546860" cy="3802380"/>
        </a:xfrm>
        <a:prstGeom prst="round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312420</xdr:colOff>
      <xdr:row>5</xdr:row>
      <xdr:rowOff>175260</xdr:rowOff>
    </xdr:from>
    <xdr:to>
      <xdr:col>6</xdr:col>
      <xdr:colOff>45720</xdr:colOff>
      <xdr:row>7</xdr:row>
      <xdr:rowOff>152400</xdr:rowOff>
    </xdr:to>
    <xdr:pic>
      <xdr:nvPicPr>
        <xdr:cNvPr id="34" name="Graphic 33" descr="Male profile with solid fill">
          <a:extLst>
            <a:ext uri="{FF2B5EF4-FFF2-40B4-BE49-F238E27FC236}">
              <a16:creationId xmlns:a16="http://schemas.microsoft.com/office/drawing/2014/main" id="{0D0A9D7E-A976-6835-4009-BA1B4F5C0B2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60420" y="1089660"/>
          <a:ext cx="342900" cy="342900"/>
        </a:xfrm>
        <a:prstGeom prst="rect">
          <a:avLst/>
        </a:prstGeom>
      </xdr:spPr>
    </xdr:pic>
    <xdr:clientData/>
  </xdr:twoCellAnchor>
  <xdr:twoCellAnchor editAs="oneCell">
    <xdr:from>
      <xdr:col>8</xdr:col>
      <xdr:colOff>411480</xdr:colOff>
      <xdr:row>5</xdr:row>
      <xdr:rowOff>121920</xdr:rowOff>
    </xdr:from>
    <xdr:to>
      <xdr:col>9</xdr:col>
      <xdr:colOff>167640</xdr:colOff>
      <xdr:row>7</xdr:row>
      <xdr:rowOff>121920</xdr:rowOff>
    </xdr:to>
    <xdr:pic>
      <xdr:nvPicPr>
        <xdr:cNvPr id="36" name="Graphic 35" descr="Stopwatch with solid fill">
          <a:extLst>
            <a:ext uri="{FF2B5EF4-FFF2-40B4-BE49-F238E27FC236}">
              <a16:creationId xmlns:a16="http://schemas.microsoft.com/office/drawing/2014/main" id="{2DEB4341-0201-12CE-0659-1D189C7E0CA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288280" y="1036320"/>
          <a:ext cx="365760" cy="365760"/>
        </a:xfrm>
        <a:prstGeom prst="rect">
          <a:avLst/>
        </a:prstGeom>
      </xdr:spPr>
    </xdr:pic>
    <xdr:clientData/>
  </xdr:twoCellAnchor>
  <xdr:twoCellAnchor editAs="oneCell">
    <xdr:from>
      <xdr:col>11</xdr:col>
      <xdr:colOff>373380</xdr:colOff>
      <xdr:row>5</xdr:row>
      <xdr:rowOff>144780</xdr:rowOff>
    </xdr:from>
    <xdr:to>
      <xdr:col>12</xdr:col>
      <xdr:colOff>144780</xdr:colOff>
      <xdr:row>7</xdr:row>
      <xdr:rowOff>160020</xdr:rowOff>
    </xdr:to>
    <xdr:pic>
      <xdr:nvPicPr>
        <xdr:cNvPr id="38" name="Graphic 37" descr="Customer review with solid fill">
          <a:extLst>
            <a:ext uri="{FF2B5EF4-FFF2-40B4-BE49-F238E27FC236}">
              <a16:creationId xmlns:a16="http://schemas.microsoft.com/office/drawing/2014/main" id="{B901A19E-2032-5FA4-F928-4F037FEA42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368540" y="1059180"/>
          <a:ext cx="381000" cy="381000"/>
        </a:xfrm>
        <a:prstGeom prst="rect">
          <a:avLst/>
        </a:prstGeom>
      </xdr:spPr>
    </xdr:pic>
    <xdr:clientData/>
  </xdr:twoCellAnchor>
  <xdr:twoCellAnchor editAs="oneCell">
    <xdr:from>
      <xdr:col>0</xdr:col>
      <xdr:colOff>213360</xdr:colOff>
      <xdr:row>6</xdr:row>
      <xdr:rowOff>45720</xdr:rowOff>
    </xdr:from>
    <xdr:to>
      <xdr:col>2</xdr:col>
      <xdr:colOff>389610</xdr:colOff>
      <xdr:row>26</xdr:row>
      <xdr:rowOff>15240</xdr:rowOff>
    </xdr:to>
    <mc:AlternateContent xmlns:mc="http://schemas.openxmlformats.org/markup-compatibility/2006" xmlns:a14="http://schemas.microsoft.com/office/drawing/2010/main">
      <mc:Choice Requires="a14">
        <xdr:graphicFrame macro="">
          <xdr:nvGraphicFramePr>
            <xdr:cNvPr id="39" name="Date (Month)">
              <a:extLst>
                <a:ext uri="{FF2B5EF4-FFF2-40B4-BE49-F238E27FC236}">
                  <a16:creationId xmlns:a16="http://schemas.microsoft.com/office/drawing/2014/main" id="{BF003A48-6DDF-49BE-86CE-4E551EEBAF0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13360" y="1143000"/>
              <a:ext cx="1395450" cy="3627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503583</xdr:colOff>
      <xdr:row>6</xdr:row>
      <xdr:rowOff>46382</xdr:rowOff>
    </xdr:from>
    <xdr:to>
      <xdr:col>6</xdr:col>
      <xdr:colOff>225287</xdr:colOff>
      <xdr:row>11</xdr:row>
      <xdr:rowOff>125895</xdr:rowOff>
    </xdr:to>
    <xdr:graphicFrame macro="">
      <xdr:nvGraphicFramePr>
        <xdr:cNvPr id="41" name="Chart 40">
          <a:hlinkClick xmlns:r="http://schemas.openxmlformats.org/officeDocument/2006/relationships" r:id="rId8"/>
          <a:extLst>
            <a:ext uri="{FF2B5EF4-FFF2-40B4-BE49-F238E27FC236}">
              <a16:creationId xmlns:a16="http://schemas.microsoft.com/office/drawing/2014/main" id="{121BD611-CEDE-43AA-9067-B4A569CF3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165653</xdr:colOff>
      <xdr:row>9</xdr:row>
      <xdr:rowOff>79513</xdr:rowOff>
    </xdr:from>
    <xdr:to>
      <xdr:col>9</xdr:col>
      <xdr:colOff>192157</xdr:colOff>
      <xdr:row>11</xdr:row>
      <xdr:rowOff>113636</xdr:rowOff>
    </xdr:to>
    <xdr:graphicFrame macro="">
      <xdr:nvGraphicFramePr>
        <xdr:cNvPr id="18" name="Chart 17">
          <a:hlinkClick xmlns:r="http://schemas.openxmlformats.org/officeDocument/2006/relationships" r:id="rId10"/>
          <a:extLst>
            <a:ext uri="{FF2B5EF4-FFF2-40B4-BE49-F238E27FC236}">
              <a16:creationId xmlns:a16="http://schemas.microsoft.com/office/drawing/2014/main" id="{F70CD84E-178A-4B38-8EEF-84AA8ED6F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278296</xdr:colOff>
      <xdr:row>8</xdr:row>
      <xdr:rowOff>168302</xdr:rowOff>
    </xdr:from>
    <xdr:to>
      <xdr:col>12</xdr:col>
      <xdr:colOff>245166</xdr:colOff>
      <xdr:row>11</xdr:row>
      <xdr:rowOff>132522</xdr:rowOff>
    </xdr:to>
    <xdr:graphicFrame macro="">
      <xdr:nvGraphicFramePr>
        <xdr:cNvPr id="30" name="Chart 29">
          <a:hlinkClick xmlns:r="http://schemas.openxmlformats.org/officeDocument/2006/relationships" r:id="rId12"/>
          <a:extLst>
            <a:ext uri="{FF2B5EF4-FFF2-40B4-BE49-F238E27FC236}">
              <a16:creationId xmlns:a16="http://schemas.microsoft.com/office/drawing/2014/main" id="{61C01839-C107-40D2-A707-CA3800F28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13584</xdr:colOff>
      <xdr:row>18</xdr:row>
      <xdr:rowOff>59632</xdr:rowOff>
    </xdr:from>
    <xdr:to>
      <xdr:col>12</xdr:col>
      <xdr:colOff>278295</xdr:colOff>
      <xdr:row>26</xdr:row>
      <xdr:rowOff>33131</xdr:rowOff>
    </xdr:to>
    <xdr:graphicFrame macro="">
      <xdr:nvGraphicFramePr>
        <xdr:cNvPr id="9" name="Chart 8">
          <a:extLst>
            <a:ext uri="{FF2B5EF4-FFF2-40B4-BE49-F238E27FC236}">
              <a16:creationId xmlns:a16="http://schemas.microsoft.com/office/drawing/2014/main" id="{7B43042C-FA4C-44DF-B18F-4E127CCA4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526580</xdr:colOff>
          <xdr:row>12</xdr:row>
          <xdr:rowOff>111864</xdr:rowOff>
        </xdr:from>
        <xdr:to>
          <xdr:col>12</xdr:col>
          <xdr:colOff>275567</xdr:colOff>
          <xdr:row>18</xdr:row>
          <xdr:rowOff>13252</xdr:rowOff>
        </xdr:to>
        <xdr:pic>
          <xdr:nvPicPr>
            <xdr:cNvPr id="33" name="Picture 32">
              <a:extLst>
                <a:ext uri="{FF2B5EF4-FFF2-40B4-BE49-F238E27FC236}">
                  <a16:creationId xmlns:a16="http://schemas.microsoft.com/office/drawing/2014/main" id="{F11B7B2C-5748-D976-419E-3A5EFD7CCFD8}"/>
                </a:ext>
              </a:extLst>
            </xdr:cNvPr>
            <xdr:cNvPicPr>
              <a:picLocks noChangeAspect="1" noChangeArrowheads="1"/>
              <a:extLst>
                <a:ext uri="{84589F7E-364E-4C9E-8A38-B11213B215E9}">
                  <a14:cameraTool cellRange="'PIVOT REPORT'!$B$51:$E$53" spid="_x0000_s2057"/>
                </a:ext>
              </a:extLst>
            </xdr:cNvPicPr>
          </xdr:nvPicPr>
          <xdr:blipFill>
            <a:blip xmlns:r="http://schemas.openxmlformats.org/officeDocument/2006/relationships" r:embed="rId15"/>
            <a:srcRect/>
            <a:stretch>
              <a:fillRect/>
            </a:stretch>
          </xdr:blipFill>
          <xdr:spPr bwMode="auto">
            <a:xfrm>
              <a:off x="1745780" y="2338229"/>
              <a:ext cx="6136535" cy="101457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331694</xdr:colOff>
      <xdr:row>0</xdr:row>
      <xdr:rowOff>0</xdr:rowOff>
    </xdr:from>
    <xdr:to>
      <xdr:col>18</xdr:col>
      <xdr:colOff>510988</xdr:colOff>
      <xdr:row>13</xdr:row>
      <xdr:rowOff>168817</xdr:rowOff>
    </xdr:to>
    <xdr:graphicFrame macro="">
      <xdr:nvGraphicFramePr>
        <xdr:cNvPr id="35" name="Chart 34">
          <a:extLst>
            <a:ext uri="{FF2B5EF4-FFF2-40B4-BE49-F238E27FC236}">
              <a16:creationId xmlns:a16="http://schemas.microsoft.com/office/drawing/2014/main" id="{A871C91F-9967-4C08-906C-9A7C75FB3C2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333038</xdr:colOff>
      <xdr:row>1</xdr:row>
      <xdr:rowOff>98612</xdr:rowOff>
    </xdr:from>
    <xdr:to>
      <xdr:col>21</xdr:col>
      <xdr:colOff>286869</xdr:colOff>
      <xdr:row>13</xdr:row>
      <xdr:rowOff>80682</xdr:rowOff>
    </xdr:to>
    <xdr:graphicFrame macro="">
      <xdr:nvGraphicFramePr>
        <xdr:cNvPr id="37" name="Chart 36">
          <a:extLst>
            <a:ext uri="{FF2B5EF4-FFF2-40B4-BE49-F238E27FC236}">
              <a16:creationId xmlns:a16="http://schemas.microsoft.com/office/drawing/2014/main" id="{1BEEF02B-90FB-4E0D-AEFC-EABCFEBC2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331694</xdr:colOff>
      <xdr:row>13</xdr:row>
      <xdr:rowOff>127299</xdr:rowOff>
    </xdr:from>
    <xdr:to>
      <xdr:col>20</xdr:col>
      <xdr:colOff>224117</xdr:colOff>
      <xdr:row>26</xdr:row>
      <xdr:rowOff>24206</xdr:rowOff>
    </xdr:to>
    <xdr:graphicFrame macro="">
      <xdr:nvGraphicFramePr>
        <xdr:cNvPr id="40" name="Chart 39">
          <a:extLst>
            <a:ext uri="{FF2B5EF4-FFF2-40B4-BE49-F238E27FC236}">
              <a16:creationId xmlns:a16="http://schemas.microsoft.com/office/drawing/2014/main" id="{4B10E659-9CC6-49D1-8098-99FD32F09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9</xdr:col>
      <xdr:colOff>502025</xdr:colOff>
      <xdr:row>1</xdr:row>
      <xdr:rowOff>89649</xdr:rowOff>
    </xdr:from>
    <xdr:to>
      <xdr:col>12</xdr:col>
      <xdr:colOff>179294</xdr:colOff>
      <xdr:row>4</xdr:row>
      <xdr:rowOff>71718</xdr:rowOff>
    </xdr:to>
    <mc:AlternateContent xmlns:mc="http://schemas.openxmlformats.org/markup-compatibility/2006" xmlns:a14="http://schemas.microsoft.com/office/drawing/2010/main">
      <mc:Choice Requires="a14">
        <xdr:graphicFrame macro="">
          <xdr:nvGraphicFramePr>
            <xdr:cNvPr id="42" name="Date (Year)">
              <a:extLst>
                <a:ext uri="{FF2B5EF4-FFF2-40B4-BE49-F238E27FC236}">
                  <a16:creationId xmlns:a16="http://schemas.microsoft.com/office/drawing/2014/main" id="{C9A3D457-CD0A-4AA0-8DD7-8874CB222DE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988425" y="268943"/>
              <a:ext cx="1792940" cy="519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0.14286</cdr:x>
      <cdr:y>0.8672</cdr:y>
    </cdr:from>
    <cdr:to>
      <cdr:x>0.72932</cdr:x>
      <cdr:y>0.94769</cdr:y>
    </cdr:to>
    <cdr:sp macro="" textlink="">
      <cdr:nvSpPr>
        <cdr:cNvPr id="2" name="TextBox 1">
          <a:extLst xmlns:a="http://schemas.openxmlformats.org/drawingml/2006/main">
            <a:ext uri="{FF2B5EF4-FFF2-40B4-BE49-F238E27FC236}">
              <a16:creationId xmlns:a16="http://schemas.microsoft.com/office/drawing/2014/main" id="{9A326561-A6A6-D362-173B-0C3C6FE578D0}"/>
            </a:ext>
          </a:extLst>
        </cdr:cNvPr>
        <cdr:cNvSpPr txBox="1"/>
      </cdr:nvSpPr>
      <cdr:spPr>
        <a:xfrm xmlns:a="http://schemas.openxmlformats.org/drawingml/2006/main">
          <a:off x="681317" y="1931894"/>
          <a:ext cx="2796988" cy="17929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0.15977</cdr:x>
      <cdr:y>0.89135</cdr:y>
    </cdr:from>
    <cdr:to>
      <cdr:x>0.55827</cdr:x>
      <cdr:y>1</cdr:y>
    </cdr:to>
    <cdr:sp macro="" textlink="">
      <cdr:nvSpPr>
        <cdr:cNvPr id="3" name="TextBox 2">
          <a:extLst xmlns:a="http://schemas.openxmlformats.org/drawingml/2006/main">
            <a:ext uri="{FF2B5EF4-FFF2-40B4-BE49-F238E27FC236}">
              <a16:creationId xmlns:a16="http://schemas.microsoft.com/office/drawing/2014/main" id="{B1D58A78-34E6-5C33-F61A-F354CA142BCC}"/>
            </a:ext>
          </a:extLst>
        </cdr:cNvPr>
        <cdr:cNvSpPr txBox="1"/>
      </cdr:nvSpPr>
      <cdr:spPr>
        <a:xfrm xmlns:a="http://schemas.openxmlformats.org/drawingml/2006/main">
          <a:off x="762000" y="2042159"/>
          <a:ext cx="1900517" cy="2420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0.16917</cdr:x>
      <cdr:y>0.87928</cdr:y>
    </cdr:from>
    <cdr:to>
      <cdr:x>0.75</cdr:x>
      <cdr:y>1</cdr:y>
    </cdr:to>
    <cdr:sp macro="" textlink="">
      <cdr:nvSpPr>
        <cdr:cNvPr id="4" name="TextBox 3">
          <a:extLst xmlns:a="http://schemas.openxmlformats.org/drawingml/2006/main">
            <a:ext uri="{FF2B5EF4-FFF2-40B4-BE49-F238E27FC236}">
              <a16:creationId xmlns:a16="http://schemas.microsoft.com/office/drawing/2014/main" id="{A3F18F6E-5063-B2CA-C2BE-04D6B74F7C27}"/>
            </a:ext>
          </a:extLst>
        </cdr:cNvPr>
        <cdr:cNvSpPr txBox="1"/>
      </cdr:nvSpPr>
      <cdr:spPr>
        <a:xfrm xmlns:a="http://schemas.openxmlformats.org/drawingml/2006/main">
          <a:off x="806822" y="1958790"/>
          <a:ext cx="2770095" cy="2689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t>No. of patient by deaprtment referal</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243840</xdr:colOff>
      <xdr:row>1</xdr:row>
      <xdr:rowOff>15240</xdr:rowOff>
    </xdr:from>
    <xdr:to>
      <xdr:col>16</xdr:col>
      <xdr:colOff>228600</xdr:colOff>
      <xdr:row>23</xdr:row>
      <xdr:rowOff>167640</xdr:rowOff>
    </xdr:to>
    <xdr:graphicFrame macro="">
      <xdr:nvGraphicFramePr>
        <xdr:cNvPr id="2" name="Chart 1">
          <a:extLst>
            <a:ext uri="{FF2B5EF4-FFF2-40B4-BE49-F238E27FC236}">
              <a16:creationId xmlns:a16="http://schemas.microsoft.com/office/drawing/2014/main" id="{70A60B3C-552A-466D-8FBD-12186AE8B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0.01408</cdr:x>
      <cdr:y>0.01277</cdr:y>
    </cdr:from>
    <cdr:to>
      <cdr:x>0.06338</cdr:x>
      <cdr:y>0.12774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B78CE1C-4415-7568-39E8-5ACAD634A09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37160" y="53340"/>
          <a:ext cx="480060" cy="48006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556260</xdr:colOff>
      <xdr:row>2</xdr:row>
      <xdr:rowOff>76200</xdr:rowOff>
    </xdr:from>
    <xdr:to>
      <xdr:col>17</xdr:col>
      <xdr:colOff>274320</xdr:colOff>
      <xdr:row>23</xdr:row>
      <xdr:rowOff>76200</xdr:rowOff>
    </xdr:to>
    <xdr:graphicFrame macro="">
      <xdr:nvGraphicFramePr>
        <xdr:cNvPr id="2" name="Chart 1">
          <a:extLst>
            <a:ext uri="{FF2B5EF4-FFF2-40B4-BE49-F238E27FC236}">
              <a16:creationId xmlns:a16="http://schemas.microsoft.com/office/drawing/2014/main" id="{6022AB63-8AEF-437F-A83E-A16315B9C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83820</xdr:colOff>
      <xdr:row>2</xdr:row>
      <xdr:rowOff>129540</xdr:rowOff>
    </xdr:from>
    <xdr:to>
      <xdr:col>2</xdr:col>
      <xdr:colOff>0</xdr:colOff>
      <xdr:row>5</xdr:row>
      <xdr:rowOff>106680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698CDA65-025D-27C0-9CAC-540C6CD8F6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3420" y="495300"/>
          <a:ext cx="525780" cy="5257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594360</xdr:colOff>
      <xdr:row>2</xdr:row>
      <xdr:rowOff>175260</xdr:rowOff>
    </xdr:from>
    <xdr:to>
      <xdr:col>16</xdr:col>
      <xdr:colOff>83820</xdr:colOff>
      <xdr:row>20</xdr:row>
      <xdr:rowOff>99060</xdr:rowOff>
    </xdr:to>
    <xdr:graphicFrame macro="">
      <xdr:nvGraphicFramePr>
        <xdr:cNvPr id="2" name="Chart 1">
          <a:extLst>
            <a:ext uri="{FF2B5EF4-FFF2-40B4-BE49-F238E27FC236}">
              <a16:creationId xmlns:a16="http://schemas.microsoft.com/office/drawing/2014/main" id="{69038417-26CA-455F-8847-ACA31B2DD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76200</xdr:colOff>
      <xdr:row>3</xdr:row>
      <xdr:rowOff>30480</xdr:rowOff>
    </xdr:from>
    <xdr:to>
      <xdr:col>1</xdr:col>
      <xdr:colOff>441960</xdr:colOff>
      <xdr:row>5</xdr:row>
      <xdr:rowOff>30480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C50FA906-F492-C2B6-0465-5F15258A7DA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579120"/>
          <a:ext cx="365760" cy="3657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296.874761921295" createdVersion="5" refreshedVersion="8" minRefreshableVersion="3" recordCount="0" supportSubquery="1" supportAdvancedDrill="1" xr:uid="{468A07E7-CA89-47BC-9738-FBD380E040FF}">
  <cacheSource type="external" connectionId="3"/>
  <cacheFields count="4">
    <cacheField name="[Measures].[Distinct Count of Patient Id]" caption="Distinct Count of Patient Id" numFmtId="0" hierarchy="24" level="32767"/>
    <cacheField name="[calendar_table].[Date (Day)].[Date (Day)]" caption="Date (Day)" numFmtId="0" hierarchy="4"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WAIT TIME]" caption="Count of PATIENT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296.87476215278" createdVersion="5" refreshedVersion="8" minRefreshableVersion="3" recordCount="0" supportSubquery="1" supportAdvancedDrill="1" xr:uid="{3422CCCE-5656-4A55-A237-106BF9A582C8}">
  <cacheSource type="external" connectionId="3"/>
  <cacheFields count="3">
    <cacheField name="[Measures].[Distinct Count of Patient Id]" caption="Distinct Count of Patient Id" numFmtId="0" hierarchy="24"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WAIT TIME]" caption="Count of PATIENT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296.874762268519" createdVersion="5" refreshedVersion="8" minRefreshableVersion="3" recordCount="0" supportSubquery="1" supportAdvancedDrill="1" xr:uid="{02D029A1-DBDE-4A6F-9D62-2187A9827C47}">
  <cacheSource type="external" connectionId="3"/>
  <cacheFields count="3">
    <cacheField name="[Measures].[Average of Patient Waittime]" caption="Average of Patient Waittime" numFmtId="0" hierarchy="27"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 TIME]" caption="Count of PATIENT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296.874762615742" createdVersion="5" refreshedVersion="8" minRefreshableVersion="3" recordCount="0" supportSubquery="1" supportAdvancedDrill="1" xr:uid="{AFC535BC-DC4F-4061-B45D-F07253A403F8}">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 TIME]" caption="Count of PATIENT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296.874763310188" createdVersion="5" refreshedVersion="8" minRefreshableVersion="3" recordCount="0" supportSubquery="1" supportAdvancedDrill="1" xr:uid="{51CDCE42-D904-49E2-A7BA-7327B6554CF2}">
  <cacheSource type="external" connectionId="3"/>
  <cacheFields count="4">
    <cacheField name="[calendar_table].[Date (Month)].[Date (Month)]" caption="Date (Month)" numFmtId="0" hierarchy="3" level="1">
      <sharedItems containsSemiMixedTypes="0" containsNonDate="0" containsString="0"/>
    </cacheField>
    <cacheField name="[Measures].[Average of Patient Waittime]" caption="Average of Patient Waittime" numFmtId="0" hierarchy="27" level="32767"/>
    <cacheField name="[calendar_table].[Date (Day)].[Date (Day)]" caption="Date (Day)" numFmtId="0" hierarchy="4"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 TIME]" caption="Count of PATIENT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296.874764120374" createdVersion="5" refreshedVersion="8" minRefreshableVersion="3" recordCount="0" supportSubquery="1" supportAdvancedDrill="1" xr:uid="{55B16982-1072-479F-8E3C-EF80C2ADBBD8}">
  <cacheSource type="external" connectionId="3"/>
  <cacheFields count="4">
    <cacheField name="[calendar_table].[Date (Month)].[Date (Month)]" caption="Date (Month)" numFmtId="0" hierarchy="3" level="1">
      <sharedItems containsSemiMixedTypes="0" containsNonDate="0" containsString="0"/>
    </cacheField>
    <cacheField name="[calendar_table].[Date (Day)].[Date (Day)]" caption="Date (Day)" numFmtId="0" hierarchy="4"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Measures].[Average of Patient Satisfaction Score]" caption="Average of Patient Satisfaction Score" numFmtId="0" hierarchy="29" level="32767"/>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 TIME]" caption="Count of PATIENT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296.874764583335" createdVersion="5" refreshedVersion="8" minRefreshableVersion="3" recordCount="0" supportSubquery="1" supportAdvancedDrill="1" xr:uid="{6CB292BE-D33D-43CB-8763-BA018020BE64}">
  <cacheSource type="external" connectionId="3"/>
  <cacheFields count="5">
    <cacheField name="[calendar_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1" level="32767"/>
    <cacheField name="[calendar_table].[Date (Year)].[Date (Year)]" caption="Date (Year)" numFmtId="0" hierarchy="1"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 TIME]" caption="Count of PATIENT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296.874765046297" createdVersion="5" refreshedVersion="8" minRefreshableVersion="3" recordCount="0" supportSubquery="1" supportAdvancedDrill="1" xr:uid="{79BFD2C5-723A-4B77-940B-194311ED2810}">
  <cacheSource type="external" connectionId="3"/>
  <cacheFields count="4">
    <cacheField name="[calendar_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1" level="32767"/>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 TIME]" caption="Count of PATIENT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296.874765509259" createdVersion="5" refreshedVersion="8" minRefreshableVersion="3" recordCount="0" supportSubquery="1" supportAdvancedDrill="1" xr:uid="{FFC4A92F-11A9-44EE-9D62-757A11B5B460}">
  <cacheSource type="external" connectionId="3"/>
  <cacheFields count="4">
    <cacheField name="[calendar_table].[Date (Month)].[Date (Month)]" caption="Date (Month)" numFmtId="0" hierarchy="3"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2" level="32767"/>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 TIME]" caption="Count of PATIENT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296.87476608796" createdVersion="5" refreshedVersion="8" minRefreshableVersion="3" recordCount="0" supportSubquery="1" supportAdvancedDrill="1" xr:uid="{6CA3F5F1-36C4-49E8-8DFA-2461B9BB87A9}">
  <cacheSource type="external" connectionId="3"/>
  <cacheFields count="4">
    <cacheField name="[calendar_table].[Date (Month)].[Date (Month)]" caption="Date (Month)" numFmtId="0" hierarchy="3" level="1">
      <sharedItems containsSemiMixedTypes="0" containsNonDate="0" containsString="0"/>
    </cacheField>
    <cacheField name="[Hospital Emergency Room Data].[PATIENT WAIT TIME].[PATIENT WAIT TIME]" caption="PATIENT WAIT TIME" numFmtId="0" hierarchy="17" level="1">
      <sharedItems count="2">
        <s v="DELAY"/>
        <s v="ON TIME"/>
      </sharedItems>
    </cacheField>
    <cacheField name="[Measures].[Count of PATIENT WAIT TIME]" caption="Count of PATIENT WAIT TIME" numFmtId="0" hierarchy="25" level="32767"/>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 TIME]" caption="Count of PATIENT WAIT 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296.874766782406" createdVersion="5" refreshedVersion="8" minRefreshableVersion="3" recordCount="0" supportSubquery="1" supportAdvancedDrill="1" xr:uid="{8767EB7E-F512-4513-B414-50387BE46765}">
  <cacheSource type="external" connectionId="3"/>
  <cacheFields count="4">
    <cacheField name="[calendar_table].[Date (Month)].[Date (Month)]" caption="Date (Month)"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 TIME]" caption="Count of PATIENT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296.874767361114" createdVersion="5" refreshedVersion="8" minRefreshableVersion="3" recordCount="0" supportSubquery="1" supportAdvancedDrill="1" xr:uid="{B69F6D0C-261A-4E59-B659-36C707323153}">
  <cacheSource type="external" connectionId="3"/>
  <cacheFields count="4">
    <cacheField name="[calendar_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 TIME]" caption="Count of PATIENT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296.874767939815" createdVersion="5" refreshedVersion="8" minRefreshableVersion="3" recordCount="0" supportSubquery="1" supportAdvancedDrill="1" xr:uid="{0BC321BC-4EFA-4934-80D5-B1E5A88F00EB}">
  <cacheSource type="external" connectionId="3"/>
  <cacheFields count="2">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unt="1">
        <s v="2024"/>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 TIME]" caption="Count of PATIENT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1.55301851852" createdVersion="3" refreshedVersion="8" minRefreshableVersion="3" recordCount="0" supportSubquery="1" supportAdvancedDrill="1" xr:uid="{332E8291-78E1-4230-ACCF-DD0E4AA25CBF}">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 TIME]" caption="Count of PATIENT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4182984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059462-603B-4777-9569-8036B87B510D}" name="PivotTable3" cacheId="217" applyNumberFormats="0" applyBorderFormats="0" applyFontFormats="0" applyPatternFormats="0" applyAlignmentFormats="0" applyWidthHeightFormats="1" dataCaption="Values" tag="76f191ee-92f4-4be8-80ff-bb31f6ee085d" updatedVersion="8" minRefreshableVersion="3" itemPrintTitles="1" createdVersion="5" indent="0" outline="1" outlineData="1" multipleFieldFilters="0" chartFormat="3">
  <location ref="B8:B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8">
      <pivotArea outline="0" collapsedLevelsAreSubtotals="1" fieldPosition="0"/>
    </format>
  </formats>
  <pivotHierarchies count="36">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AD1058-407B-4550-8A05-AE6189496980}" name="PivotTable1" cacheId="211" applyNumberFormats="0" applyBorderFormats="0" applyFontFormats="0" applyPatternFormats="0" applyAlignmentFormats="0" applyWidthHeightFormats="1" dataCaption="Values" tag="54c8110a-47b5-494c-8c1a-b397cefc4efc" updatedVersion="8" minRefreshableVersion="3" subtotalHiddenItems="1" itemPrintTitles="1" createdVersion="5" indent="0" outline="1" outlineData="1" multipleFieldFilters="0" chartFormat="20">
  <location ref="F3:G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089D89-64E2-4A44-B079-29A415EE3A64}" name="PivotTable4" cacheId="220" applyNumberFormats="0" applyBorderFormats="0" applyFontFormats="0" applyPatternFormats="0" applyAlignmentFormats="0" applyWidthHeightFormats="1" dataCaption="Values" tag="47cc78a5-7afa-417c-8406-84326cde0692" updatedVersion="8" minRefreshableVersion="3" itemPrintTitles="1" createdVersion="5" indent="0" outline="1" outlineData="1" multipleFieldFilters="0">
  <location ref="B12:B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9">
      <pivotArea outline="0" collapsedLevelsAreSubtotals="1" fieldPosition="0"/>
    </format>
  </formats>
  <pivotHierarchies count="36">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BFC21A-78CF-48C7-94AE-3BBA7E8E6851}" name="PivotTable10" cacheId="238" applyNumberFormats="0" applyBorderFormats="0" applyFontFormats="0" applyPatternFormats="0" applyAlignmentFormats="0" applyWidthHeightFormats="1" dataCaption="Values" tag="47cc78a5-7afa-417c-8406-84326cde0692" updatedVersion="8" minRefreshableVersion="3" subtotalHiddenItems="1" rowGrandTotals="0" itemPrintTitles="1" createdVersion="5" indent="0" outline="1" outlineData="1" multipleFieldFilters="0" chartFormat="28">
  <location ref="J43:K4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name="Count of PATIENT WAIT TIME" fld="2" subtotal="count" baseField="0" baseItem="0"/>
  </dataFields>
  <formats count="1">
    <format dxfId="80">
      <pivotArea outline="0" collapsedLevelsAreSubtotals="1" fieldPosition="0"/>
    </format>
  </format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 count="1" selected="0">
            <x v="0"/>
          </reference>
        </references>
      </pivotArea>
    </chartFormat>
    <chartFormat chart="24"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caption="No. of Patien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BBF01B-BCE5-4D44-8A54-48FC7A8D382D}" name="PivotTable8" cacheId="232" applyNumberFormats="0" applyBorderFormats="0" applyFontFormats="0" applyPatternFormats="0" applyAlignmentFormats="0" applyWidthHeightFormats="1" dataCaption="Values" tag="47cc78a5-7afa-417c-8406-84326cde0692" updatedVersion="8" minRefreshableVersion="3" subtotalHiddenItems="1" itemPrintTitles="1" createdVersion="5" indent="0" outline="1" outlineData="1" multipleFieldFilters="0" chartFormat="33">
  <location ref="C44:D4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Total %" fld="2" subtotal="count" showDataAs="percentOfTotal" baseField="0" baseItem="0" numFmtId="10"/>
  </dataFields>
  <formats count="2">
    <format dxfId="82">
      <pivotArea outline="0" collapsedLevelsAreSubtotals="1" fieldPosition="0"/>
    </format>
    <format dxfId="81">
      <pivotArea outline="0" fieldPosition="0">
        <references count="1">
          <reference field="4294967294" count="1">
            <x v="0"/>
          </reference>
        </references>
      </pivotArea>
    </format>
  </formats>
  <chartFormats count="1">
    <chartFormat chart="8"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caption="No. of Patien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6C699-AD94-462C-BFDE-BF7901CD0F5A}" name="PivotTable9" cacheId="235" applyNumberFormats="0" applyBorderFormats="0" applyFontFormats="0" applyPatternFormats="0" applyAlignmentFormats="0" applyWidthHeightFormats="1" dataCaption="Values" tag="47cc78a5-7afa-417c-8406-84326cde0692" updatedVersion="8" minRefreshableVersion="3" subtotalHiddenItems="1" itemPrintTitles="1" createdVersion="5" indent="0" outline="1" outlineData="1" multipleFieldFilters="0" chartFormat="20">
  <location ref="G43:H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2">
    <format dxfId="84">
      <pivotArea collapsedLevelsAreSubtotals="1" fieldPosition="0">
        <references count="1">
          <reference field="1" count="1">
            <x v="0"/>
          </reference>
        </references>
      </pivotArea>
    </format>
    <format dxfId="83">
      <pivotArea outline="0" collapsedLevelsAreSubtotals="1" fieldPosition="0"/>
    </format>
  </formats>
  <chartFormats count="3">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 count="1" selected="0">
            <x v="6"/>
          </reference>
        </references>
      </pivotArea>
    </chartFormat>
    <chartFormat chart="19" format="4">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caption="No. of Patien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3FC93F-FFB1-40E3-BBC6-9063B0952AEC}" name="PivotTable7" cacheId="229" applyNumberFormats="0" applyBorderFormats="0" applyFontFormats="0" applyPatternFormats="0" applyAlignmentFormats="0" applyWidthHeightFormats="1" dataCaption="Values" tag="47cc78a5-7afa-417c-8406-84326cde0692" updatedVersion="8" minRefreshableVersion="3" subtotalHiddenItems="1" itemPrintTitles="1" createdVersion="5" indent="0" outline="1" outlineData="1" multipleFieldFilters="0">
  <location ref="B39:D42" firstHeaderRow="0" firstDataRow="1" firstDataCol="1"/>
  <pivotFields count="5">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baseField="0" baseItem="0">
      <extLst>
        <ext xmlns:x14="http://schemas.microsoft.com/office/spreadsheetml/2009/9/main" uri="{E15A36E0-9728-4e99-A89B-3F7291B0FE68}">
          <x14:dataField sourceField="2" uniqueName="[__Xl2].[Measures].[Count of Patient Admission Flag]"/>
        </ext>
      </extLst>
    </dataField>
  </dataFields>
  <formats count="1">
    <format dxfId="85">
      <pivotArea outline="0" collapsedLevelsAreSubtotals="1" fieldPosition="0"/>
    </format>
  </formats>
  <pivotHierarchies count="37">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33E024-0D66-49E3-9C49-A469BEC48C70}" name="PivotTable5" cacheId="223" applyNumberFormats="0" applyBorderFormats="0" applyFontFormats="0" applyPatternFormats="0" applyAlignmentFormats="0" applyWidthHeightFormats="1" dataCaption="Values" tag="54c8110a-47b5-494c-8c1a-b397cefc4efc" updatedVersion="8" minRefreshableVersion="3" subtotalHiddenItems="1" itemPrintTitles="1" createdVersion="5" indent="0" outline="1" outlineData="1" multipleFieldFilters="0" chartFormat="34">
  <location ref="K3:L3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0" numFmtId="164"/>
  </dataFields>
  <formats count="1">
    <format dxfId="86">
      <pivotArea outline="0" collapsedLevelsAreSubtotals="1" fieldPosition="0"/>
    </format>
  </formats>
  <chartFormats count="2">
    <chartFormat chart="27"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FE11F2-98A8-4369-B1B5-A21CD99F2AA2}" name="PivotTable13" cacheId="247" applyNumberFormats="0" applyBorderFormats="0" applyFontFormats="0" applyPatternFormats="0" applyAlignmentFormats="0" applyWidthHeightFormats="1" dataCaption="Values" tag="47cc78a5-7afa-417c-8406-84326cde0692" updatedVersion="8" minRefreshableVersion="3" subtotalHiddenItems="1" rowGrandTotals="0" itemPrintTitles="1" createdVersion="5" indent="0" outline="1" outlineData="1" multipleFieldFilters="0" chartFormat="40">
  <location ref="J66:J67"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1">
    <i>
      <x/>
    </i>
  </rowItems>
  <formats count="1">
    <format dxfId="87">
      <pivotArea outline="0" collapsedLevelsAreSubtotals="1" fieldPosition="0"/>
    </format>
  </formats>
  <pivotHierarchies count="36">
    <pivotHierarchy dragToData="1"/>
    <pivotHierarchy multipleItemSelectionAllowed="1" dragToData="1"/>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caption="No. of Patien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7F391D-8920-4419-9DD8-55B0F63F8348}" name="PivotTable12" cacheId="244" applyNumberFormats="0" applyBorderFormats="0" applyFontFormats="0" applyPatternFormats="0" applyAlignmentFormats="0" applyWidthHeightFormats="1" dataCaption="Values" tag="47cc78a5-7afa-417c-8406-84326cde0692" updatedVersion="8" minRefreshableVersion="3" subtotalHiddenItems="1" rowGrandTotals="0" itemPrintTitles="1" createdVersion="5" indent="0" outline="1" outlineData="1" multipleFieldFilters="0" chartFormat="40">
  <location ref="J56:K6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v="7"/>
    </i>
    <i>
      <x v="3"/>
    </i>
    <i>
      <x/>
    </i>
    <i>
      <x v="1"/>
    </i>
    <i>
      <x v="6"/>
    </i>
    <i>
      <x v="5"/>
    </i>
    <i>
      <x v="2"/>
    </i>
    <i>
      <x v="4"/>
    </i>
  </rowItems>
  <colItems count="1">
    <i/>
  </colItems>
  <dataFields count="1">
    <dataField name="Count of Department Referral" fld="2" subtotal="count" baseField="0" baseItem="0"/>
  </dataFields>
  <formats count="1">
    <format dxfId="88">
      <pivotArea outline="0" collapsedLevelsAreSubtotals="1" fieldPosition="0"/>
    </format>
  </formats>
  <chartFormats count="2">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1" count="1" selected="0">
            <x v="0"/>
          </reference>
        </references>
      </pivotArea>
    </chartFormat>
  </chartFormats>
  <pivotHierarchies count="36">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caption="No. of Patien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1B6091-67F5-452F-8077-E4008428EE02}" name="PivotTable6" cacheId="226" applyNumberFormats="0" applyBorderFormats="0" applyFontFormats="0" applyPatternFormats="0" applyAlignmentFormats="0" applyWidthHeightFormats="1" dataCaption="Values" tag="54c8110a-47b5-494c-8c1a-b397cefc4efc" updatedVersion="8" minRefreshableVersion="3" subtotalHiddenItems="1" itemPrintTitles="1" createdVersion="5" indent="0" outline="1" outlineData="1" multipleFieldFilters="0" chartFormat="41">
  <location ref="N3:O35" firstHeaderRow="1" firstDataRow="1" firstDataCol="1"/>
  <pivotFields count="4">
    <pivotField allDrilled="1" subtotalTop="0" showAll="0" dataSourceSort="1" defaultSubtotal="0" defaultAttributeDrillState="1"/>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dataField="1" subtotalTop="0" showAll="0" defaultSubtotal="0"/>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1" baseItem="0"/>
  </dataFields>
  <formats count="1">
    <format dxfId="89">
      <pivotArea outline="0" collapsedLevelsAreSubtotals="1" fieldPosition="0"/>
    </format>
  </formats>
  <chartFormats count="2">
    <chartFormat chart="36"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DCDD02-3418-492B-B696-917AD531B741}" name="PivotTable2" cacheId="214" applyNumberFormats="0" applyBorderFormats="0" applyFontFormats="0" applyPatternFormats="0" applyAlignmentFormats="0" applyWidthHeightFormats="1" dataCaption="Values" tag="54c8110a-47b5-494c-8c1a-b397cefc4efc" updatedVersion="8" minRefreshableVersion="3"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B5B94AA-356E-4F0F-9FC0-4B385CFD9B5E}" name="PivotTable11" cacheId="241" applyNumberFormats="0" applyBorderFormats="0" applyFontFormats="0" applyPatternFormats="0" applyAlignmentFormats="0" applyWidthHeightFormats="1" dataCaption="Values" tag="47cc78a5-7afa-417c-8406-84326cde0692" updatedVersion="8" minRefreshableVersion="3" subtotalHiddenItems="1" rowGrandTotals="0" itemPrintTitles="1" createdVersion="5" indent="0" outline="1" outlineData="1" multipleFieldFilters="0" chartFormat="34">
  <location ref="J50:K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name="Count of Patient Gender" fld="2" subtotal="count" baseField="0" baseItem="0"/>
  </dataFields>
  <formats count="1">
    <format dxfId="90">
      <pivotArea outline="0" collapsedLevelsAreSubtotals="1" fieldPosition="0"/>
    </format>
  </formats>
  <chartFormats count="3">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1" count="1" selected="0">
            <x v="0"/>
          </reference>
        </references>
      </pivotArea>
    </chartFormat>
    <chartFormat chart="32"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caption="No. of Patien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34E19DA-14F0-4892-AB6C-22B74E12E33A}" sourceName="[calendar_table].[Date (Month)]">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 tabId="2" name="PivotTable13"/>
  </pivotTables>
  <data>
    <olap pivotCacheId="1418298419">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33DC3E1-B3BB-48E0-A24F-3B573E5F11D7}" sourceName="[calendar_table].[Date (Year)]">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41829841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210F0AA-16AD-4977-B493-F7091504A799}" cache="Slicer_Date__Month" caption="Date (Month)" showCaption="0" level="1" style="Slicer1 2" rowHeight="252000"/>
  <slicer name="Date (Year)" xr10:uid="{E80D56B3-1EF0-47CB-B6D6-E0C10753C561}" cache="Slicer_Date__Year" caption="Date (Year)" columnCount="2" showCaption="0" level="1" style="Slicer1 2"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39CA8-CFDD-4289-B8F9-A03FBFEB2212}">
  <dimension ref="B2:O67"/>
  <sheetViews>
    <sheetView topLeftCell="B46" zoomScale="85" zoomScaleNormal="85" workbookViewId="0">
      <selection activeCell="V22" sqref="V22"/>
    </sheetView>
  </sheetViews>
  <sheetFormatPr defaultRowHeight="14.4" x14ac:dyDescent="0.3"/>
  <cols>
    <col min="2" max="2" width="23.88671875" bestFit="1" customWidth="1"/>
    <col min="3" max="3" width="18.21875" customWidth="1"/>
    <col min="4" max="4" width="8.77734375" customWidth="1"/>
    <col min="5" max="5" width="21.5546875" customWidth="1"/>
    <col min="6" max="6" width="14.6640625" bestFit="1" customWidth="1"/>
    <col min="7" max="7" width="24" bestFit="1" customWidth="1"/>
    <col min="8" max="8" width="19" bestFit="1" customWidth="1"/>
    <col min="10" max="10" width="14.44140625" bestFit="1" customWidth="1"/>
    <col min="11" max="11" width="27.44140625" customWidth="1"/>
    <col min="12" max="12" width="23.88671875" bestFit="1" customWidth="1"/>
    <col min="15" max="15" width="25.33203125" bestFit="1" customWidth="1"/>
    <col min="17" max="17" width="25" bestFit="1" customWidth="1"/>
  </cols>
  <sheetData>
    <row r="2" spans="2:15" x14ac:dyDescent="0.3">
      <c r="B2" t="s">
        <v>1</v>
      </c>
      <c r="F2" t="s">
        <v>8</v>
      </c>
      <c r="K2" t="s">
        <v>7</v>
      </c>
    </row>
    <row r="3" spans="2:15" x14ac:dyDescent="0.3">
      <c r="B3" t="s">
        <v>0</v>
      </c>
      <c r="F3" s="3" t="s">
        <v>5</v>
      </c>
      <c r="G3" t="s">
        <v>0</v>
      </c>
      <c r="K3" s="3" t="s">
        <v>5</v>
      </c>
      <c r="L3" t="s">
        <v>2</v>
      </c>
      <c r="N3" s="3" t="s">
        <v>5</v>
      </c>
      <c r="O3" t="s">
        <v>3</v>
      </c>
    </row>
    <row r="4" spans="2:15" x14ac:dyDescent="0.3">
      <c r="B4" s="17">
        <v>488</v>
      </c>
      <c r="F4" s="4" t="s">
        <v>47</v>
      </c>
      <c r="G4" s="17">
        <v>17</v>
      </c>
      <c r="K4" s="4" t="s">
        <v>47</v>
      </c>
      <c r="L4" s="6">
        <v>36.941176470588232</v>
      </c>
      <c r="N4" s="4" t="s">
        <v>47</v>
      </c>
      <c r="O4" s="6">
        <v>4.125</v>
      </c>
    </row>
    <row r="5" spans="2:15" x14ac:dyDescent="0.3">
      <c r="F5" s="4" t="s">
        <v>48</v>
      </c>
      <c r="G5" s="17">
        <v>19</v>
      </c>
      <c r="K5" s="4" t="s">
        <v>48</v>
      </c>
      <c r="L5" s="6">
        <v>30.842105263157894</v>
      </c>
      <c r="N5" s="4" t="s">
        <v>48</v>
      </c>
      <c r="O5" s="6">
        <v>5.333333333333333</v>
      </c>
    </row>
    <row r="6" spans="2:15" x14ac:dyDescent="0.3">
      <c r="F6" s="4" t="s">
        <v>49</v>
      </c>
      <c r="G6" s="17">
        <v>12</v>
      </c>
      <c r="K6" s="4" t="s">
        <v>49</v>
      </c>
      <c r="L6" s="6">
        <v>31.833333333333332</v>
      </c>
      <c r="N6" s="4" t="s">
        <v>49</v>
      </c>
      <c r="O6" s="6">
        <v>4.75</v>
      </c>
    </row>
    <row r="7" spans="2:15" x14ac:dyDescent="0.3">
      <c r="F7" s="4" t="s">
        <v>50</v>
      </c>
      <c r="G7" s="17">
        <v>9</v>
      </c>
      <c r="K7" s="4" t="s">
        <v>50</v>
      </c>
      <c r="L7" s="6">
        <v>33.777777777777779</v>
      </c>
      <c r="N7" s="4" t="s">
        <v>50</v>
      </c>
      <c r="O7" s="6">
        <v>2</v>
      </c>
    </row>
    <row r="8" spans="2:15" x14ac:dyDescent="0.3">
      <c r="B8" t="s">
        <v>2</v>
      </c>
      <c r="F8" s="4" t="s">
        <v>51</v>
      </c>
      <c r="G8" s="17">
        <v>15</v>
      </c>
      <c r="K8" s="4" t="s">
        <v>51</v>
      </c>
      <c r="L8" s="6">
        <v>30.466666666666665</v>
      </c>
      <c r="N8" s="4" t="s">
        <v>51</v>
      </c>
      <c r="O8" s="6">
        <v>8</v>
      </c>
    </row>
    <row r="9" spans="2:15" x14ac:dyDescent="0.3">
      <c r="B9" s="1">
        <v>35.19877049180328</v>
      </c>
      <c r="F9" s="4" t="s">
        <v>52</v>
      </c>
      <c r="G9" s="17">
        <v>10</v>
      </c>
      <c r="K9" s="4" t="s">
        <v>52</v>
      </c>
      <c r="L9" s="6">
        <v>38.799999999999997</v>
      </c>
      <c r="N9" s="4" t="s">
        <v>52</v>
      </c>
      <c r="O9" s="6">
        <v>3.5</v>
      </c>
    </row>
    <row r="10" spans="2:15" x14ac:dyDescent="0.3">
      <c r="F10" s="4" t="s">
        <v>53</v>
      </c>
      <c r="G10" s="17">
        <v>18</v>
      </c>
      <c r="K10" s="4" t="s">
        <v>53</v>
      </c>
      <c r="L10" s="6">
        <v>30.277777777777779</v>
      </c>
      <c r="N10" s="4" t="s">
        <v>53</v>
      </c>
      <c r="O10" s="6">
        <v>7</v>
      </c>
    </row>
    <row r="11" spans="2:15" x14ac:dyDescent="0.3">
      <c r="F11" s="4" t="s">
        <v>54</v>
      </c>
      <c r="G11" s="17">
        <v>19</v>
      </c>
      <c r="K11" s="4" t="s">
        <v>54</v>
      </c>
      <c r="L11" s="6">
        <v>35.157894736842103</v>
      </c>
      <c r="N11" s="4" t="s">
        <v>54</v>
      </c>
      <c r="O11" s="6">
        <v>3.5</v>
      </c>
    </row>
    <row r="12" spans="2:15" x14ac:dyDescent="0.3">
      <c r="B12" t="s">
        <v>3</v>
      </c>
      <c r="F12" s="4" t="s">
        <v>55</v>
      </c>
      <c r="G12" s="17">
        <v>19</v>
      </c>
      <c r="K12" s="4" t="s">
        <v>55</v>
      </c>
      <c r="L12" s="6">
        <v>37.94736842105263</v>
      </c>
      <c r="N12" s="4" t="s">
        <v>55</v>
      </c>
      <c r="O12" s="6">
        <v>6.4</v>
      </c>
    </row>
    <row r="13" spans="2:15" x14ac:dyDescent="0.3">
      <c r="B13" s="1">
        <v>4.7876712328767121</v>
      </c>
      <c r="F13" s="4" t="s">
        <v>56</v>
      </c>
      <c r="G13" s="17">
        <v>13</v>
      </c>
      <c r="K13" s="4" t="s">
        <v>56</v>
      </c>
      <c r="L13" s="6">
        <v>33.92307692307692</v>
      </c>
      <c r="N13" s="4" t="s">
        <v>56</v>
      </c>
      <c r="O13" s="6">
        <v>3.5</v>
      </c>
    </row>
    <row r="14" spans="2:15" x14ac:dyDescent="0.3">
      <c r="F14" s="4" t="s">
        <v>57</v>
      </c>
      <c r="G14" s="17">
        <v>15</v>
      </c>
      <c r="K14" s="4" t="s">
        <v>57</v>
      </c>
      <c r="L14" s="6">
        <v>33.200000000000003</v>
      </c>
      <c r="N14" s="4" t="s">
        <v>57</v>
      </c>
      <c r="O14" s="6">
        <v>6.5</v>
      </c>
    </row>
    <row r="15" spans="2:15" x14ac:dyDescent="0.3">
      <c r="F15" s="4" t="s">
        <v>58</v>
      </c>
      <c r="G15" s="17">
        <v>25</v>
      </c>
      <c r="K15" s="4" t="s">
        <v>58</v>
      </c>
      <c r="L15" s="6">
        <v>40.159999999999997</v>
      </c>
      <c r="N15" s="4" t="s">
        <v>58</v>
      </c>
      <c r="O15" s="6">
        <v>5.2857142857142856</v>
      </c>
    </row>
    <row r="16" spans="2:15" x14ac:dyDescent="0.3">
      <c r="F16" s="4" t="s">
        <v>59</v>
      </c>
      <c r="G16" s="17">
        <v>19</v>
      </c>
      <c r="K16" s="4" t="s">
        <v>59</v>
      </c>
      <c r="L16" s="6">
        <v>41.578947368421055</v>
      </c>
      <c r="N16" s="4" t="s">
        <v>59</v>
      </c>
      <c r="O16" s="6">
        <v>4.333333333333333</v>
      </c>
    </row>
    <row r="17" spans="6:15" x14ac:dyDescent="0.3">
      <c r="F17" s="4" t="s">
        <v>60</v>
      </c>
      <c r="G17" s="17">
        <v>15</v>
      </c>
      <c r="K17" s="4" t="s">
        <v>60</v>
      </c>
      <c r="L17" s="6">
        <v>36.866666666666667</v>
      </c>
      <c r="N17" s="4" t="s">
        <v>60</v>
      </c>
      <c r="O17" s="6">
        <v>3</v>
      </c>
    </row>
    <row r="18" spans="6:15" x14ac:dyDescent="0.3">
      <c r="F18" s="4" t="s">
        <v>61</v>
      </c>
      <c r="G18" s="17">
        <v>14</v>
      </c>
      <c r="K18" s="4" t="s">
        <v>61</v>
      </c>
      <c r="L18" s="6">
        <v>33.714285714285715</v>
      </c>
      <c r="N18" s="4" t="s">
        <v>61</v>
      </c>
      <c r="O18" s="6">
        <v>4.333333333333333</v>
      </c>
    </row>
    <row r="19" spans="6:15" x14ac:dyDescent="0.3">
      <c r="F19" s="4" t="s">
        <v>62</v>
      </c>
      <c r="G19" s="17">
        <v>20</v>
      </c>
      <c r="K19" s="4" t="s">
        <v>62</v>
      </c>
      <c r="L19" s="6">
        <v>33.700000000000003</v>
      </c>
      <c r="N19" s="4" t="s">
        <v>62</v>
      </c>
      <c r="O19" s="6">
        <v>3.3333333333333335</v>
      </c>
    </row>
    <row r="20" spans="6:15" x14ac:dyDescent="0.3">
      <c r="F20" s="4" t="s">
        <v>63</v>
      </c>
      <c r="G20" s="17">
        <v>14</v>
      </c>
      <c r="K20" s="4" t="s">
        <v>63</v>
      </c>
      <c r="L20" s="6">
        <v>34.642857142857146</v>
      </c>
      <c r="N20" s="4" t="s">
        <v>63</v>
      </c>
      <c r="O20" s="6">
        <v>2.5714285714285716</v>
      </c>
    </row>
    <row r="21" spans="6:15" x14ac:dyDescent="0.3">
      <c r="F21" s="4" t="s">
        <v>64</v>
      </c>
      <c r="G21" s="17">
        <v>14</v>
      </c>
      <c r="K21" s="4" t="s">
        <v>64</v>
      </c>
      <c r="L21" s="6">
        <v>36.5</v>
      </c>
      <c r="N21" s="4" t="s">
        <v>64</v>
      </c>
      <c r="O21" s="6">
        <v>3.75</v>
      </c>
    </row>
    <row r="22" spans="6:15" x14ac:dyDescent="0.3">
      <c r="F22" s="4" t="s">
        <v>65</v>
      </c>
      <c r="G22" s="17">
        <v>17</v>
      </c>
      <c r="K22" s="4" t="s">
        <v>65</v>
      </c>
      <c r="L22" s="6">
        <v>33.058823529411768</v>
      </c>
      <c r="N22" s="4" t="s">
        <v>65</v>
      </c>
      <c r="O22" s="6">
        <v>8.3333333333333339</v>
      </c>
    </row>
    <row r="23" spans="6:15" x14ac:dyDescent="0.3">
      <c r="F23" s="4" t="s">
        <v>66</v>
      </c>
      <c r="G23" s="17">
        <v>16</v>
      </c>
      <c r="K23" s="4" t="s">
        <v>66</v>
      </c>
      <c r="L23" s="6">
        <v>33.5625</v>
      </c>
      <c r="N23" s="4" t="s">
        <v>66</v>
      </c>
      <c r="O23" s="6">
        <v>3.75</v>
      </c>
    </row>
    <row r="24" spans="6:15" x14ac:dyDescent="0.3">
      <c r="F24" s="4" t="s">
        <v>67</v>
      </c>
      <c r="G24" s="17">
        <v>18</v>
      </c>
      <c r="K24" s="4" t="s">
        <v>67</v>
      </c>
      <c r="L24" s="6">
        <v>31.555555555555557</v>
      </c>
      <c r="N24" s="4" t="s">
        <v>67</v>
      </c>
      <c r="O24" s="6">
        <v>4.666666666666667</v>
      </c>
    </row>
    <row r="25" spans="6:15" x14ac:dyDescent="0.3">
      <c r="F25" s="4" t="s">
        <v>68</v>
      </c>
      <c r="G25" s="17">
        <v>8</v>
      </c>
      <c r="K25" s="4" t="s">
        <v>68</v>
      </c>
      <c r="L25" s="6">
        <v>38.375</v>
      </c>
      <c r="N25" s="4" t="s">
        <v>68</v>
      </c>
      <c r="O25" s="6">
        <v>5</v>
      </c>
    </row>
    <row r="26" spans="6:15" x14ac:dyDescent="0.3">
      <c r="F26" s="4" t="s">
        <v>69</v>
      </c>
      <c r="G26" s="17">
        <v>17</v>
      </c>
      <c r="K26" s="4" t="s">
        <v>69</v>
      </c>
      <c r="L26" s="6">
        <v>35.411764705882355</v>
      </c>
      <c r="N26" s="4" t="s">
        <v>69</v>
      </c>
      <c r="O26" s="6">
        <v>4.333333333333333</v>
      </c>
    </row>
    <row r="27" spans="6:15" x14ac:dyDescent="0.3">
      <c r="F27" s="4" t="s">
        <v>70</v>
      </c>
      <c r="G27" s="17">
        <v>11</v>
      </c>
      <c r="K27" s="4" t="s">
        <v>70</v>
      </c>
      <c r="L27" s="6">
        <v>34.909090909090907</v>
      </c>
      <c r="N27" s="4" t="s">
        <v>70</v>
      </c>
      <c r="O27" s="6">
        <v>4.666666666666667</v>
      </c>
    </row>
    <row r="28" spans="6:15" x14ac:dyDescent="0.3">
      <c r="F28" s="4" t="s">
        <v>71</v>
      </c>
      <c r="G28" s="17">
        <v>15</v>
      </c>
      <c r="K28" s="4" t="s">
        <v>71</v>
      </c>
      <c r="L28" s="6">
        <v>35.133333333333333</v>
      </c>
      <c r="N28" s="4" t="s">
        <v>71</v>
      </c>
      <c r="O28" s="6">
        <v>4.5</v>
      </c>
    </row>
    <row r="29" spans="6:15" x14ac:dyDescent="0.3">
      <c r="F29" s="4" t="s">
        <v>72</v>
      </c>
      <c r="G29" s="17">
        <v>13</v>
      </c>
      <c r="K29" s="4" t="s">
        <v>72</v>
      </c>
      <c r="L29" s="6">
        <v>35.07692307692308</v>
      </c>
      <c r="N29" s="4" t="s">
        <v>72</v>
      </c>
      <c r="O29" s="6">
        <v>6</v>
      </c>
    </row>
    <row r="30" spans="6:15" x14ac:dyDescent="0.3">
      <c r="F30" s="4" t="s">
        <v>73</v>
      </c>
      <c r="G30" s="17">
        <v>17</v>
      </c>
      <c r="K30" s="4" t="s">
        <v>73</v>
      </c>
      <c r="L30" s="6">
        <v>35.352941176470587</v>
      </c>
      <c r="N30" s="4" t="s">
        <v>73</v>
      </c>
      <c r="O30" s="6">
        <v>6.8888888888888893</v>
      </c>
    </row>
    <row r="31" spans="6:15" x14ac:dyDescent="0.3">
      <c r="F31" s="4" t="s">
        <v>74</v>
      </c>
      <c r="G31" s="17">
        <v>20</v>
      </c>
      <c r="K31" s="4" t="s">
        <v>74</v>
      </c>
      <c r="L31" s="6">
        <v>36.6</v>
      </c>
      <c r="N31" s="4" t="s">
        <v>74</v>
      </c>
      <c r="O31" s="6">
        <v>6.5714285714285712</v>
      </c>
    </row>
    <row r="32" spans="6:15" x14ac:dyDescent="0.3">
      <c r="F32" s="4" t="s">
        <v>75</v>
      </c>
      <c r="G32" s="17">
        <v>20</v>
      </c>
      <c r="K32" s="4" t="s">
        <v>75</v>
      </c>
      <c r="L32" s="6">
        <v>35.799999999999997</v>
      </c>
      <c r="N32" s="4" t="s">
        <v>75</v>
      </c>
      <c r="O32" s="6">
        <v>4.0999999999999996</v>
      </c>
    </row>
    <row r="33" spans="2:15" x14ac:dyDescent="0.3">
      <c r="F33" s="4" t="s">
        <v>76</v>
      </c>
      <c r="G33" s="17">
        <v>13</v>
      </c>
      <c r="K33" s="4" t="s">
        <v>76</v>
      </c>
      <c r="L33" s="6">
        <v>30.307692307692307</v>
      </c>
      <c r="N33" s="4" t="s">
        <v>76</v>
      </c>
      <c r="O33" s="6">
        <v>5</v>
      </c>
    </row>
    <row r="34" spans="2:15" x14ac:dyDescent="0.3">
      <c r="F34" s="4" t="s">
        <v>77</v>
      </c>
      <c r="G34" s="17">
        <v>16</v>
      </c>
      <c r="K34" s="4" t="s">
        <v>77</v>
      </c>
      <c r="L34" s="6">
        <v>42.75</v>
      </c>
      <c r="N34" s="4" t="s">
        <v>77</v>
      </c>
      <c r="O34" s="6">
        <v>5.4</v>
      </c>
    </row>
    <row r="35" spans="2:15" x14ac:dyDescent="0.3">
      <c r="F35" s="4" t="s">
        <v>4</v>
      </c>
      <c r="G35" s="17">
        <v>488</v>
      </c>
      <c r="K35" s="4" t="s">
        <v>4</v>
      </c>
      <c r="L35" s="6">
        <v>35.19877049180328</v>
      </c>
      <c r="N35" s="4" t="s">
        <v>4</v>
      </c>
      <c r="O35" s="6">
        <v>4.7876712328767121</v>
      </c>
    </row>
    <row r="39" spans="2:15" x14ac:dyDescent="0.3">
      <c r="B39" s="3" t="s">
        <v>5</v>
      </c>
      <c r="C39" t="s">
        <v>13</v>
      </c>
      <c r="D39" t="s">
        <v>14</v>
      </c>
    </row>
    <row r="40" spans="2:15" x14ac:dyDescent="0.3">
      <c r="B40" s="4" t="s">
        <v>11</v>
      </c>
      <c r="C40" s="1">
        <v>266</v>
      </c>
      <c r="D40" s="1">
        <v>266</v>
      </c>
    </row>
    <row r="41" spans="2:15" x14ac:dyDescent="0.3">
      <c r="B41" s="4" t="s">
        <v>12</v>
      </c>
      <c r="C41" s="1">
        <v>222</v>
      </c>
      <c r="D41" s="1">
        <v>222</v>
      </c>
    </row>
    <row r="42" spans="2:15" x14ac:dyDescent="0.3">
      <c r="B42" s="4" t="s">
        <v>4</v>
      </c>
      <c r="C42" s="1">
        <v>488</v>
      </c>
      <c r="D42" s="1">
        <v>488</v>
      </c>
      <c r="G42" t="s">
        <v>41</v>
      </c>
      <c r="J42" t="s">
        <v>40</v>
      </c>
    </row>
    <row r="43" spans="2:15" x14ac:dyDescent="0.3">
      <c r="G43" s="3" t="s">
        <v>5</v>
      </c>
      <c r="H43" t="s">
        <v>26</v>
      </c>
      <c r="J43" s="3" t="s">
        <v>5</v>
      </c>
      <c r="K43" t="s">
        <v>39</v>
      </c>
    </row>
    <row r="44" spans="2:15" x14ac:dyDescent="0.3">
      <c r="C44" s="3" t="s">
        <v>5</v>
      </c>
      <c r="D44" t="s">
        <v>15</v>
      </c>
      <c r="G44" s="4" t="s">
        <v>18</v>
      </c>
      <c r="H44" s="10">
        <v>62</v>
      </c>
      <c r="J44" s="4" t="s">
        <v>29</v>
      </c>
      <c r="K44" s="10">
        <v>288</v>
      </c>
    </row>
    <row r="45" spans="2:15" x14ac:dyDescent="0.3">
      <c r="C45" s="4" t="s">
        <v>11</v>
      </c>
      <c r="D45" s="9">
        <v>0.54508196721311475</v>
      </c>
      <c r="G45" s="4" t="s">
        <v>19</v>
      </c>
      <c r="H45" s="10">
        <v>73</v>
      </c>
      <c r="J45" s="4" t="s">
        <v>30</v>
      </c>
      <c r="K45" s="10">
        <v>200</v>
      </c>
    </row>
    <row r="46" spans="2:15" x14ac:dyDescent="0.3">
      <c r="C46" s="4" t="s">
        <v>12</v>
      </c>
      <c r="D46" s="9">
        <v>0.45491803278688525</v>
      </c>
      <c r="G46" s="4" t="s">
        <v>20</v>
      </c>
      <c r="H46" s="10">
        <v>49</v>
      </c>
    </row>
    <row r="47" spans="2:15" x14ac:dyDescent="0.3">
      <c r="C47" s="4" t="s">
        <v>4</v>
      </c>
      <c r="D47" s="9">
        <v>1</v>
      </c>
      <c r="G47" s="4" t="s">
        <v>21</v>
      </c>
      <c r="H47" s="10">
        <v>44</v>
      </c>
    </row>
    <row r="48" spans="2:15" x14ac:dyDescent="0.3">
      <c r="G48" s="4" t="s">
        <v>22</v>
      </c>
      <c r="H48" s="10">
        <v>72</v>
      </c>
    </row>
    <row r="49" spans="2:11" x14ac:dyDescent="0.3">
      <c r="G49" s="4" t="s">
        <v>23</v>
      </c>
      <c r="H49" s="10">
        <v>71</v>
      </c>
      <c r="J49" t="s">
        <v>43</v>
      </c>
    </row>
    <row r="50" spans="2:11" x14ac:dyDescent="0.3">
      <c r="G50" s="4" t="s">
        <v>24</v>
      </c>
      <c r="H50" s="10">
        <v>59</v>
      </c>
      <c r="J50" s="3" t="s">
        <v>5</v>
      </c>
      <c r="K50" t="s">
        <v>42</v>
      </c>
    </row>
    <row r="51" spans="2:11" x14ac:dyDescent="0.3">
      <c r="B51" s="11" t="s">
        <v>17</v>
      </c>
      <c r="C51" s="11" t="s">
        <v>16</v>
      </c>
      <c r="D51" s="11" t="s">
        <v>15</v>
      </c>
      <c r="E51" s="12"/>
      <c r="G51" s="4" t="s">
        <v>25</v>
      </c>
      <c r="H51" s="10">
        <v>58</v>
      </c>
      <c r="J51" s="4" t="s">
        <v>31</v>
      </c>
      <c r="K51" s="10">
        <v>232</v>
      </c>
    </row>
    <row r="52" spans="2:11" x14ac:dyDescent="0.3">
      <c r="B52" s="13" t="s">
        <v>11</v>
      </c>
      <c r="C52" s="14">
        <v>476</v>
      </c>
      <c r="D52" s="15">
        <v>0.46484375</v>
      </c>
      <c r="E52" s="16"/>
      <c r="G52" s="4" t="s">
        <v>4</v>
      </c>
      <c r="H52" s="10">
        <v>488</v>
      </c>
      <c r="J52" s="4" t="s">
        <v>27</v>
      </c>
      <c r="K52" s="10">
        <v>256</v>
      </c>
    </row>
    <row r="53" spans="2:11" x14ac:dyDescent="0.3">
      <c r="B53" s="13" t="s">
        <v>12</v>
      </c>
      <c r="C53" s="14">
        <v>548</v>
      </c>
      <c r="D53" s="15">
        <v>0.53515625</v>
      </c>
      <c r="E53" s="16"/>
    </row>
    <row r="55" spans="2:11" x14ac:dyDescent="0.3">
      <c r="J55" t="s">
        <v>44</v>
      </c>
    </row>
    <row r="56" spans="2:11" x14ac:dyDescent="0.3">
      <c r="J56" s="3" t="s">
        <v>5</v>
      </c>
      <c r="K56" t="s">
        <v>45</v>
      </c>
    </row>
    <row r="57" spans="2:11" x14ac:dyDescent="0.3">
      <c r="J57" s="4" t="s">
        <v>38</v>
      </c>
      <c r="K57" s="10">
        <v>4</v>
      </c>
    </row>
    <row r="58" spans="2:11" x14ac:dyDescent="0.3">
      <c r="J58" s="4" t="s">
        <v>36</v>
      </c>
      <c r="K58" s="10">
        <v>7</v>
      </c>
    </row>
    <row r="59" spans="2:11" x14ac:dyDescent="0.3">
      <c r="J59" s="4" t="s">
        <v>35</v>
      </c>
      <c r="K59" s="10">
        <v>11</v>
      </c>
    </row>
    <row r="60" spans="2:11" x14ac:dyDescent="0.3">
      <c r="J60" s="4" t="s">
        <v>37</v>
      </c>
      <c r="K60" s="10">
        <v>11</v>
      </c>
    </row>
    <row r="61" spans="2:11" x14ac:dyDescent="0.3">
      <c r="J61" s="4" t="s">
        <v>34</v>
      </c>
      <c r="K61" s="10">
        <v>12</v>
      </c>
    </row>
    <row r="62" spans="2:11" x14ac:dyDescent="0.3">
      <c r="J62" s="4" t="s">
        <v>33</v>
      </c>
      <c r="K62" s="10">
        <v>60</v>
      </c>
    </row>
    <row r="63" spans="2:11" x14ac:dyDescent="0.3">
      <c r="J63" s="4" t="s">
        <v>32</v>
      </c>
      <c r="K63" s="10">
        <v>93</v>
      </c>
    </row>
    <row r="64" spans="2:11" x14ac:dyDescent="0.3">
      <c r="J64" s="4" t="s">
        <v>28</v>
      </c>
      <c r="K64" s="10">
        <v>290</v>
      </c>
    </row>
    <row r="66" spans="10:10" x14ac:dyDescent="0.3">
      <c r="J66" s="3" t="s">
        <v>5</v>
      </c>
    </row>
    <row r="67" spans="10:10" x14ac:dyDescent="0.3">
      <c r="J67" s="4" t="s">
        <v>46</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8F98-5818-4F1C-953B-8781AAFEE97F}">
  <dimension ref="A1"/>
  <sheetViews>
    <sheetView tabSelected="1" zoomScale="85" zoomScaleNormal="85" workbookViewId="0">
      <selection activeCell="I32" sqref="I32"/>
    </sheetView>
  </sheetViews>
  <sheetFormatPr defaultRowHeight="14.4" x14ac:dyDescent="0.3"/>
  <cols>
    <col min="1" max="7" width="8.88671875" style="2"/>
    <col min="8" max="9" width="8.88671875" style="2" customWidth="1"/>
    <col min="10" max="10" width="13.109375" style="2" customWidth="1"/>
    <col min="11" max="14" width="8.88671875" style="2"/>
    <col min="15" max="15" width="8.88671875" style="2" customWidth="1"/>
    <col min="16" max="16384" width="8.88671875" style="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D4DA-CA96-49C3-853F-E8E9814AA880}">
  <dimension ref="F25:F26"/>
  <sheetViews>
    <sheetView showGridLines="0" workbookViewId="0"/>
  </sheetViews>
  <sheetFormatPr defaultRowHeight="14.4" x14ac:dyDescent="0.3"/>
  <sheetData>
    <row r="25" spans="6:6" ht="1.8" customHeight="1" x14ac:dyDescent="0.3"/>
    <row r="26" spans="6:6" ht="22.2" x14ac:dyDescent="0.35">
      <c r="F26" s="8" t="s">
        <v>10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90CC3-0AC0-4922-951A-908EB16AAD77}">
  <dimension ref="H25"/>
  <sheetViews>
    <sheetView showGridLines="0" workbookViewId="0"/>
  </sheetViews>
  <sheetFormatPr defaultRowHeight="14.4" x14ac:dyDescent="0.3"/>
  <sheetData>
    <row r="25" spans="8:8" ht="17.399999999999999" x14ac:dyDescent="0.3">
      <c r="H25" s="7" t="s">
        <v>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BF1E7-6F95-4758-8231-4AE2939CC5C8}">
  <dimension ref="C21"/>
  <sheetViews>
    <sheetView showGridLines="0" workbookViewId="0"/>
  </sheetViews>
  <sheetFormatPr defaultRowHeight="14.4" x14ac:dyDescent="0.3"/>
  <sheetData>
    <row r="21" spans="3:3" ht="23.4" customHeight="1" x14ac:dyDescent="0.35">
      <c r="C21" s="5" t="s">
        <v>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05FEC08-95CB-4840-AE4B-0311861B3393}">
  <ds:schemaRefs/>
</ds:datastoreItem>
</file>

<file path=customXml/itemProps2.xml><?xml version="1.0" encoding="utf-8"?>
<ds:datastoreItem xmlns:ds="http://schemas.openxmlformats.org/officeDocument/2006/customXml" ds:itemID="{793FD2A4-45A9-409E-81F2-A759AEC0075D}">
  <ds:schemaRefs/>
</ds:datastoreItem>
</file>

<file path=customXml/itemProps3.xml><?xml version="1.0" encoding="utf-8"?>
<ds:datastoreItem xmlns:ds="http://schemas.openxmlformats.org/officeDocument/2006/customXml" ds:itemID="{2B71B667-448D-4AB0-8ACF-8C04FFD1070F}">
  <ds:schemaRefs/>
</ds:datastoreItem>
</file>

<file path=customXml/itemProps4.xml><?xml version="1.0" encoding="utf-8"?>
<ds:datastoreItem xmlns:ds="http://schemas.openxmlformats.org/officeDocument/2006/customXml" ds:itemID="{F2304234-6574-4106-8D7D-BA3E25A95EBF}">
  <ds:schemaRefs/>
</ds:datastoreItem>
</file>

<file path=customXml/itemProps5.xml><?xml version="1.0" encoding="utf-8"?>
<ds:datastoreItem xmlns:ds="http://schemas.openxmlformats.org/officeDocument/2006/customXml" ds:itemID="{CAC4E774-22B7-4A44-9237-C655F232BF16}">
  <ds:schemaRefs/>
</ds:datastoreItem>
</file>

<file path=customXml/itemProps6.xml><?xml version="1.0" encoding="utf-8"?>
<ds:datastoreItem xmlns:ds="http://schemas.openxmlformats.org/officeDocument/2006/customXml" ds:itemID="{037C482D-1208-4BF4-B2A0-2077395C9639}">
  <ds:schemaRefs/>
</ds:datastoreItem>
</file>

<file path=customXml/itemProps7.xml><?xml version="1.0" encoding="utf-8"?>
<ds:datastoreItem xmlns:ds="http://schemas.openxmlformats.org/officeDocument/2006/customXml" ds:itemID="{3AC3610E-B05C-4CA1-8DE9-87D45AC9C1CE}">
  <ds:schemaRefs/>
</ds:datastoreItem>
</file>

<file path=customXml/itemProps8.xml><?xml version="1.0" encoding="utf-8"?>
<ds:datastoreItem xmlns:ds="http://schemas.openxmlformats.org/officeDocument/2006/customXml" ds:itemID="{08EF875F-2F07-449B-A4B8-CE82E4517F4A}">
  <ds:schemaRefs/>
</ds:datastoreItem>
</file>

<file path=customXml/itemProps9.xml><?xml version="1.0" encoding="utf-8"?>
<ds:datastoreItem xmlns:ds="http://schemas.openxmlformats.org/officeDocument/2006/customXml" ds:itemID="{5B0C8BCE-024B-4A70-A368-0778A683B047}">
  <ds:schemaRefs/>
</ds:datastoreItem>
</file>

<file path=customXml/itemProps10.xml><?xml version="1.0" encoding="utf-8"?>
<ds:datastoreItem xmlns:ds="http://schemas.openxmlformats.org/officeDocument/2006/customXml" ds:itemID="{11A9ABF9-C726-49BF-9A4C-508D508E9213}">
  <ds:schemaRefs/>
</ds:datastoreItem>
</file>

<file path=customXml/itemProps11.xml><?xml version="1.0" encoding="utf-8"?>
<ds:datastoreItem xmlns:ds="http://schemas.openxmlformats.org/officeDocument/2006/customXml" ds:itemID="{8FC9F811-19CA-4314-A429-DE9599C29A10}">
  <ds:schemaRefs/>
</ds:datastoreItem>
</file>

<file path=customXml/itemProps12.xml><?xml version="1.0" encoding="utf-8"?>
<ds:datastoreItem xmlns:ds="http://schemas.openxmlformats.org/officeDocument/2006/customXml" ds:itemID="{77A8CB9C-541A-4730-898B-4E6DB70E7DB2}">
  <ds:schemaRefs/>
</ds:datastoreItem>
</file>

<file path=customXml/itemProps13.xml><?xml version="1.0" encoding="utf-8"?>
<ds:datastoreItem xmlns:ds="http://schemas.openxmlformats.org/officeDocument/2006/customXml" ds:itemID="{91B9ABF9-63A3-459D-B128-8EF42677F7C8}">
  <ds:schemaRefs/>
</ds:datastoreItem>
</file>

<file path=customXml/itemProps14.xml><?xml version="1.0" encoding="utf-8"?>
<ds:datastoreItem xmlns:ds="http://schemas.openxmlformats.org/officeDocument/2006/customXml" ds:itemID="{74819674-A06B-4BCC-B32A-D5834E8D342B}">
  <ds:schemaRefs/>
</ds:datastoreItem>
</file>

<file path=customXml/itemProps15.xml><?xml version="1.0" encoding="utf-8"?>
<ds:datastoreItem xmlns:ds="http://schemas.openxmlformats.org/officeDocument/2006/customXml" ds:itemID="{074D6AEC-E667-49CE-A428-BD8088784C94}">
  <ds:schemaRefs>
    <ds:schemaRef ds:uri="http://schemas.microsoft.com/DataMashup"/>
  </ds:schemaRefs>
</ds:datastoreItem>
</file>

<file path=customXml/itemProps16.xml><?xml version="1.0" encoding="utf-8"?>
<ds:datastoreItem xmlns:ds="http://schemas.openxmlformats.org/officeDocument/2006/customXml" ds:itemID="{562BF6A1-CE41-4DF1-B50C-C1E5BD59D4F7}">
  <ds:schemaRefs/>
</ds:datastoreItem>
</file>

<file path=customXml/itemProps17.xml><?xml version="1.0" encoding="utf-8"?>
<ds:datastoreItem xmlns:ds="http://schemas.openxmlformats.org/officeDocument/2006/customXml" ds:itemID="{559C28AD-0522-44C6-8080-6EB6EF5B35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vt:lpstr>
      <vt:lpstr>AVG WAIT TIME</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Kumar</dc:creator>
  <cp:lastModifiedBy>Manish Kumar</cp:lastModifiedBy>
  <dcterms:created xsi:type="dcterms:W3CDTF">2026-05-08T09:13:12Z</dcterms:created>
  <dcterms:modified xsi:type="dcterms:W3CDTF">2026-10-01T15:29:47Z</dcterms:modified>
</cp:coreProperties>
</file>